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订单数据" sheetId="2" state="visible" r:id="rId2"/>
    <sheet xmlns:r="http://schemas.openxmlformats.org/officeDocument/2006/relationships" name="资金账单" sheetId="3" state="visible" r:id="rId3"/>
    <sheet xmlns:r="http://schemas.openxmlformats.org/officeDocument/2006/relationships" name="自动对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8"/>
    </font>
    <font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4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6500"/>
      </font>
      <fill>
        <patternFill patternType="solid">
          <fgColor rgb="00FFE699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电商对账 Lite（免费版）</t>
        </is>
      </c>
    </row>
    <row r="4">
      <c r="B4" s="2" t="inlineStr">
        <is>
          <t>用法：把订单粘进【订单数据】，结算账单粘进【资金账单】，【自动对账】出结果。</t>
        </is>
      </c>
    </row>
    <row r="5">
      <c r="B5" s="2" t="inlineStr">
        <is>
          <t>列格式：订单=平台/订单号/实付/运费/退款；账单=平台/订单号/订单金额/佣金/推广费/退款扣回/实际到账。</t>
        </is>
      </c>
    </row>
    <row r="6">
      <c r="B6" s="2" t="inlineStr">
        <is>
          <t>原理：应收(实付+运费) = 到账+佣金+推广+扣回，差&gt;0.01元标红。</t>
        </is>
      </c>
    </row>
    <row r="7">
      <c r="B7" s="2" t="inlineStr">
        <is>
          <t>自带12单演示数据：1笔⚠未结算(DEMO202609002)、1笔❌金额差异(DEMO202609007)。</t>
        </is>
      </c>
    </row>
    <row r="8">
      <c r="B8" s="2" t="inlineStr">
        <is>
          <t>免费版限制：100行、无利润看板/差异清单/图表/教程。</t>
        </is>
      </c>
    </row>
    <row r="9">
      <c r="B9" s="2" t="inlineStr">
        <is>
          <t>Pro版(600行多平台+真实利润看板+差异清单+图文教程)：见仓库 README。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0" customWidth="1" min="5" max="5"/>
  </cols>
  <sheetData>
    <row r="1">
      <c r="A1" s="3" t="inlineStr">
        <is>
          <t>平台</t>
        </is>
      </c>
      <c r="B1" s="3" t="inlineStr">
        <is>
          <t>订单号</t>
        </is>
      </c>
      <c r="C1" s="3" t="inlineStr">
        <is>
          <t>买家实付(元)</t>
        </is>
      </c>
      <c r="D1" s="3" t="inlineStr">
        <is>
          <t>运费(元)</t>
        </is>
      </c>
      <c r="E1" s="3" t="inlineStr">
        <is>
          <t>退款(元)</t>
        </is>
      </c>
    </row>
    <row r="2">
      <c r="A2" s="4" t="inlineStr">
        <is>
          <t>抖店</t>
        </is>
      </c>
      <c r="B2" s="4" t="inlineStr">
        <is>
          <t>DEMO20260900</t>
        </is>
      </c>
      <c r="C2" s="5" t="n">
        <v>122.8</v>
      </c>
      <c r="D2" s="5" t="n">
        <v>0</v>
      </c>
      <c r="E2" s="5" t="n">
        <v>0</v>
      </c>
    </row>
    <row r="3">
      <c r="A3" s="4" t="inlineStr">
        <is>
          <t>淘宝</t>
        </is>
      </c>
      <c r="B3" s="4" t="inlineStr">
        <is>
          <t>DEMO20260901</t>
        </is>
      </c>
      <c r="C3" s="5" t="n">
        <v>294.1</v>
      </c>
      <c r="D3" s="5" t="n">
        <v>8</v>
      </c>
      <c r="E3" s="5" t="n">
        <v>0</v>
      </c>
    </row>
    <row r="4">
      <c r="A4" s="4" t="inlineStr">
        <is>
          <t>抖店</t>
        </is>
      </c>
      <c r="B4" s="4" t="inlineStr">
        <is>
          <t>DEMO20260902</t>
        </is>
      </c>
      <c r="C4" s="5" t="n">
        <v>62.96</v>
      </c>
      <c r="D4" s="5" t="n">
        <v>0</v>
      </c>
      <c r="E4" s="5" t="n">
        <v>0</v>
      </c>
    </row>
    <row r="5">
      <c r="A5" s="4" t="inlineStr">
        <is>
          <t>淘宝</t>
        </is>
      </c>
      <c r="B5" s="4" t="inlineStr">
        <is>
          <t>DEMO20260903</t>
        </is>
      </c>
      <c r="C5" s="5" t="n">
        <v>285.8</v>
      </c>
      <c r="D5" s="5" t="n">
        <v>8</v>
      </c>
      <c r="E5" s="5" t="n">
        <v>0</v>
      </c>
    </row>
    <row r="6">
      <c r="A6" s="4" t="inlineStr">
        <is>
          <t>抖店</t>
        </is>
      </c>
      <c r="B6" s="4" t="inlineStr">
        <is>
          <t>DEMO20260904</t>
        </is>
      </c>
      <c r="C6" s="5" t="n">
        <v>358.65</v>
      </c>
      <c r="D6" s="5" t="n">
        <v>0</v>
      </c>
      <c r="E6" s="5" t="n">
        <v>0</v>
      </c>
    </row>
    <row r="7">
      <c r="A7" s="4" t="inlineStr">
        <is>
          <t>抖店</t>
        </is>
      </c>
      <c r="B7" s="4" t="inlineStr">
        <is>
          <t>DEMO20260905</t>
        </is>
      </c>
      <c r="C7" s="5" t="n">
        <v>261.16</v>
      </c>
      <c r="D7" s="5" t="n">
        <v>0</v>
      </c>
      <c r="E7" s="5" t="n">
        <v>0</v>
      </c>
    </row>
    <row r="8">
      <c r="A8" s="4" t="inlineStr">
        <is>
          <t>淘宝</t>
        </is>
      </c>
      <c r="B8" s="4" t="inlineStr">
        <is>
          <t>DEMO20260906</t>
        </is>
      </c>
      <c r="C8" s="5" t="n">
        <v>107.52</v>
      </c>
      <c r="D8" s="5" t="n">
        <v>0</v>
      </c>
      <c r="E8" s="5" t="n">
        <v>0</v>
      </c>
    </row>
    <row r="9">
      <c r="A9" s="4" t="inlineStr">
        <is>
          <t>淘宝</t>
        </is>
      </c>
      <c r="B9" s="4" t="inlineStr">
        <is>
          <t>DEMO20260907</t>
        </is>
      </c>
      <c r="C9" s="5" t="n">
        <v>255.67</v>
      </c>
      <c r="D9" s="5" t="n">
        <v>8</v>
      </c>
      <c r="E9" s="5" t="n">
        <v>0</v>
      </c>
    </row>
    <row r="10">
      <c r="A10" s="4" t="inlineStr">
        <is>
          <t>淘宝</t>
        </is>
      </c>
      <c r="B10" s="4" t="inlineStr">
        <is>
          <t>DEMO20260908</t>
        </is>
      </c>
      <c r="C10" s="5" t="n">
        <v>264.18</v>
      </c>
      <c r="D10" s="5" t="n">
        <v>8</v>
      </c>
      <c r="E10" s="5" t="n">
        <v>0</v>
      </c>
    </row>
    <row r="11">
      <c r="A11" s="4" t="inlineStr">
        <is>
          <t>淘宝</t>
        </is>
      </c>
      <c r="B11" s="4" t="inlineStr">
        <is>
          <t>DEMO20260909</t>
        </is>
      </c>
      <c r="C11" s="5" t="n">
        <v>32.01</v>
      </c>
      <c r="D11" s="5" t="n">
        <v>0</v>
      </c>
      <c r="E11" s="5" t="n">
        <v>0</v>
      </c>
    </row>
    <row r="12">
      <c r="A12" s="4" t="inlineStr">
        <is>
          <t>淘宝</t>
        </is>
      </c>
      <c r="B12" s="4" t="inlineStr">
        <is>
          <t>DEMO20260910</t>
        </is>
      </c>
      <c r="C12" s="5" t="n">
        <v>348.9</v>
      </c>
      <c r="D12" s="5" t="n">
        <v>0</v>
      </c>
      <c r="E12" s="5" t="n">
        <v>0</v>
      </c>
    </row>
    <row r="13">
      <c r="A13" s="4" t="inlineStr">
        <is>
          <t>淘宝</t>
        </is>
      </c>
      <c r="B13" s="4" t="inlineStr">
        <is>
          <t>DEMO20260911</t>
        </is>
      </c>
      <c r="C13" s="5" t="n">
        <v>52.97</v>
      </c>
      <c r="D13" s="5" t="n">
        <v>0</v>
      </c>
      <c r="E13" s="5" t="n">
        <v>0</v>
      </c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0" customWidth="1" min="4" max="4"/>
    <col width="11" customWidth="1" min="5" max="5"/>
    <col width="12" customWidth="1" min="6" max="6"/>
    <col width="12" customWidth="1" min="7" max="7"/>
  </cols>
  <sheetData>
    <row r="1">
      <c r="A1" s="3" t="inlineStr">
        <is>
          <t>平台</t>
        </is>
      </c>
      <c r="B1" s="3" t="inlineStr">
        <is>
          <t>订单号</t>
        </is>
      </c>
      <c r="C1" s="3" t="inlineStr">
        <is>
          <t>订单金额(元)</t>
        </is>
      </c>
      <c r="D1" s="3" t="inlineStr">
        <is>
          <t>佣金(元)</t>
        </is>
      </c>
      <c r="E1" s="3" t="inlineStr">
        <is>
          <t>推广费(元)</t>
        </is>
      </c>
      <c r="F1" s="3" t="inlineStr">
        <is>
          <t>退款扣回(元)</t>
        </is>
      </c>
      <c r="G1" s="3" t="inlineStr">
        <is>
          <t>实际到账(元)</t>
        </is>
      </c>
    </row>
    <row r="2">
      <c r="A2" s="4" t="inlineStr">
        <is>
          <t>抖店</t>
        </is>
      </c>
      <c r="B2" s="4" t="inlineStr">
        <is>
          <t>DEMO20260900</t>
        </is>
      </c>
      <c r="C2" s="5" t="n">
        <v>122.8</v>
      </c>
      <c r="D2" s="5" t="n">
        <v>6.14</v>
      </c>
      <c r="E2" s="5" t="n">
        <v>3.68</v>
      </c>
      <c r="F2" s="5" t="n">
        <v>0</v>
      </c>
      <c r="G2" s="5" t="n">
        <v>112.98</v>
      </c>
    </row>
    <row r="3">
      <c r="A3" s="4" t="inlineStr">
        <is>
          <t>淘宝</t>
        </is>
      </c>
      <c r="B3" s="4" t="inlineStr">
        <is>
          <t>DEMO20260901</t>
        </is>
      </c>
      <c r="C3" s="5" t="n">
        <v>302.1</v>
      </c>
      <c r="D3" s="5" t="n">
        <v>14.71</v>
      </c>
      <c r="E3" s="5" t="n">
        <v>8.82</v>
      </c>
      <c r="F3" s="5" t="n">
        <v>0</v>
      </c>
      <c r="G3" s="5" t="n">
        <v>278.57</v>
      </c>
    </row>
    <row r="4">
      <c r="A4" s="4" t="inlineStr">
        <is>
          <t>淘宝</t>
        </is>
      </c>
      <c r="B4" s="4" t="inlineStr">
        <is>
          <t>DEMO20260903</t>
        </is>
      </c>
      <c r="C4" s="5" t="n">
        <v>293.8</v>
      </c>
      <c r="D4" s="5" t="n">
        <v>14.29</v>
      </c>
      <c r="E4" s="5" t="n">
        <v>8.57</v>
      </c>
      <c r="F4" s="5" t="n">
        <v>0</v>
      </c>
      <c r="G4" s="5" t="n">
        <v>270.94</v>
      </c>
    </row>
    <row r="5">
      <c r="A5" s="4" t="inlineStr">
        <is>
          <t>抖店</t>
        </is>
      </c>
      <c r="B5" s="4" t="inlineStr">
        <is>
          <t>DEMO20260904</t>
        </is>
      </c>
      <c r="C5" s="5" t="n">
        <v>358.65</v>
      </c>
      <c r="D5" s="5" t="n">
        <v>17.93</v>
      </c>
      <c r="E5" s="5" t="n">
        <v>10.76</v>
      </c>
      <c r="F5" s="5" t="n">
        <v>0</v>
      </c>
      <c r="G5" s="5" t="n">
        <v>329.96</v>
      </c>
    </row>
    <row r="6">
      <c r="A6" s="4" t="inlineStr">
        <is>
          <t>抖店</t>
        </is>
      </c>
      <c r="B6" s="4" t="inlineStr">
        <is>
          <t>DEMO20260905</t>
        </is>
      </c>
      <c r="C6" s="5" t="n">
        <v>261.16</v>
      </c>
      <c r="D6" s="5" t="n">
        <v>13.06</v>
      </c>
      <c r="E6" s="5" t="n">
        <v>7.83</v>
      </c>
      <c r="F6" s="5" t="n">
        <v>0</v>
      </c>
      <c r="G6" s="5" t="n">
        <v>240.27</v>
      </c>
    </row>
    <row r="7">
      <c r="A7" s="4" t="inlineStr">
        <is>
          <t>淘宝</t>
        </is>
      </c>
      <c r="B7" s="4" t="inlineStr">
        <is>
          <t>DEMO20260906</t>
        </is>
      </c>
      <c r="C7" s="5" t="n">
        <v>107.52</v>
      </c>
      <c r="D7" s="5" t="n">
        <v>5.38</v>
      </c>
      <c r="E7" s="5" t="n">
        <v>3.23</v>
      </c>
      <c r="F7" s="5" t="n">
        <v>0</v>
      </c>
      <c r="G7" s="5" t="n">
        <v>98.91</v>
      </c>
    </row>
    <row r="8">
      <c r="A8" s="4" t="inlineStr">
        <is>
          <t>淘宝</t>
        </is>
      </c>
      <c r="B8" s="4" t="inlineStr">
        <is>
          <t>DEMO20260907</t>
        </is>
      </c>
      <c r="C8" s="5" t="n">
        <v>263.67</v>
      </c>
      <c r="D8" s="5" t="n">
        <v>12.78</v>
      </c>
      <c r="E8" s="5" t="n">
        <v>7.67</v>
      </c>
      <c r="F8" s="5" t="n">
        <v>0</v>
      </c>
      <c r="G8" s="5" t="n">
        <v>233.22</v>
      </c>
    </row>
    <row r="9">
      <c r="A9" s="4" t="inlineStr">
        <is>
          <t>淘宝</t>
        </is>
      </c>
      <c r="B9" s="4" t="inlineStr">
        <is>
          <t>DEMO20260908</t>
        </is>
      </c>
      <c r="C9" s="5" t="n">
        <v>272.18</v>
      </c>
      <c r="D9" s="5" t="n">
        <v>13.21</v>
      </c>
      <c r="E9" s="5" t="n">
        <v>7.93</v>
      </c>
      <c r="F9" s="5" t="n">
        <v>0</v>
      </c>
      <c r="G9" s="5" t="n">
        <v>251.04</v>
      </c>
    </row>
    <row r="10">
      <c r="A10" s="4" t="inlineStr">
        <is>
          <t>淘宝</t>
        </is>
      </c>
      <c r="B10" s="4" t="inlineStr">
        <is>
          <t>DEMO20260909</t>
        </is>
      </c>
      <c r="C10" s="5" t="n">
        <v>32.01</v>
      </c>
      <c r="D10" s="5" t="n">
        <v>1.6</v>
      </c>
      <c r="E10" s="5" t="n">
        <v>0.96</v>
      </c>
      <c r="F10" s="5" t="n">
        <v>0</v>
      </c>
      <c r="G10" s="5" t="n">
        <v>29.45</v>
      </c>
    </row>
    <row r="11">
      <c r="A11" s="4" t="inlineStr">
        <is>
          <t>淘宝</t>
        </is>
      </c>
      <c r="B11" s="4" t="inlineStr">
        <is>
          <t>DEMO20260910</t>
        </is>
      </c>
      <c r="C11" s="5" t="n">
        <v>348.9</v>
      </c>
      <c r="D11" s="5" t="n">
        <v>17.45</v>
      </c>
      <c r="E11" s="5" t="n">
        <v>10.47</v>
      </c>
      <c r="F11" s="5" t="n">
        <v>0</v>
      </c>
      <c r="G11" s="5" t="n">
        <v>320.98</v>
      </c>
    </row>
    <row r="12">
      <c r="A12" s="4" t="inlineStr">
        <is>
          <t>淘宝</t>
        </is>
      </c>
      <c r="B12" s="4" t="inlineStr">
        <is>
          <t>DEMO20260911</t>
        </is>
      </c>
      <c r="C12" s="5" t="n">
        <v>52.97</v>
      </c>
      <c r="D12" s="5" t="n">
        <v>2.65</v>
      </c>
      <c r="E12" s="5" t="n">
        <v>1.59</v>
      </c>
      <c r="F12" s="5" t="n">
        <v>0</v>
      </c>
      <c r="G12" s="5" t="n">
        <v>48.73</v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>
      <c r="A60" s="4" t="n"/>
      <c r="B60" s="4" t="n"/>
      <c r="C60" s="4" t="n"/>
      <c r="D60" s="4" t="n"/>
      <c r="E60" s="4" t="n"/>
      <c r="F60" s="4" t="n"/>
      <c r="G60" s="4" t="n"/>
    </row>
    <row r="61">
      <c r="A61" s="4" t="n"/>
      <c r="B61" s="4" t="n"/>
      <c r="C61" s="4" t="n"/>
      <c r="D61" s="4" t="n"/>
      <c r="E61" s="4" t="n"/>
      <c r="F61" s="4" t="n"/>
      <c r="G61" s="4" t="n"/>
    </row>
    <row r="62">
      <c r="A62" s="4" t="n"/>
      <c r="B62" s="4" t="n"/>
      <c r="C62" s="4" t="n"/>
      <c r="D62" s="4" t="n"/>
      <c r="E62" s="4" t="n"/>
      <c r="F62" s="4" t="n"/>
      <c r="G62" s="4" t="n"/>
    </row>
    <row r="63">
      <c r="A63" s="4" t="n"/>
      <c r="B63" s="4" t="n"/>
      <c r="C63" s="4" t="n"/>
      <c r="D63" s="4" t="n"/>
      <c r="E63" s="4" t="n"/>
      <c r="F63" s="4" t="n"/>
      <c r="G63" s="4" t="n"/>
    </row>
    <row r="64">
      <c r="A64" s="4" t="n"/>
      <c r="B64" s="4" t="n"/>
      <c r="C64" s="4" t="n"/>
      <c r="D64" s="4" t="n"/>
      <c r="E64" s="4" t="n"/>
      <c r="F64" s="4" t="n"/>
      <c r="G64" s="4" t="n"/>
    </row>
    <row r="65">
      <c r="A65" s="4" t="n"/>
      <c r="B65" s="4" t="n"/>
      <c r="C65" s="4" t="n"/>
      <c r="D65" s="4" t="n"/>
      <c r="E65" s="4" t="n"/>
      <c r="F65" s="4" t="n"/>
      <c r="G65" s="4" t="n"/>
    </row>
    <row r="66">
      <c r="A66" s="4" t="n"/>
      <c r="B66" s="4" t="n"/>
      <c r="C66" s="4" t="n"/>
      <c r="D66" s="4" t="n"/>
      <c r="E66" s="4" t="n"/>
      <c r="F66" s="4" t="n"/>
      <c r="G66" s="4" t="n"/>
    </row>
    <row r="67">
      <c r="A67" s="4" t="n"/>
      <c r="B67" s="4" t="n"/>
      <c r="C67" s="4" t="n"/>
      <c r="D67" s="4" t="n"/>
      <c r="E67" s="4" t="n"/>
      <c r="F67" s="4" t="n"/>
      <c r="G67" s="4" t="n"/>
    </row>
    <row r="68">
      <c r="A68" s="4" t="n"/>
      <c r="B68" s="4" t="n"/>
      <c r="C68" s="4" t="n"/>
      <c r="D68" s="4" t="n"/>
      <c r="E68" s="4" t="n"/>
      <c r="F68" s="4" t="n"/>
      <c r="G68" s="4" t="n"/>
    </row>
    <row r="69">
      <c r="A69" s="4" t="n"/>
      <c r="B69" s="4" t="n"/>
      <c r="C69" s="4" t="n"/>
      <c r="D69" s="4" t="n"/>
      <c r="E69" s="4" t="n"/>
      <c r="F69" s="4" t="n"/>
      <c r="G69" s="4" t="n"/>
    </row>
    <row r="70">
      <c r="A70" s="4" t="n"/>
      <c r="B70" s="4" t="n"/>
      <c r="C70" s="4" t="n"/>
      <c r="D70" s="4" t="n"/>
      <c r="E70" s="4" t="n"/>
      <c r="F70" s="4" t="n"/>
      <c r="G70" s="4" t="n"/>
    </row>
    <row r="71">
      <c r="A71" s="4" t="n"/>
      <c r="B71" s="4" t="n"/>
      <c r="C71" s="4" t="n"/>
      <c r="D71" s="4" t="n"/>
      <c r="E71" s="4" t="n"/>
      <c r="F71" s="4" t="n"/>
      <c r="G71" s="4" t="n"/>
    </row>
    <row r="72">
      <c r="A72" s="4" t="n"/>
      <c r="B72" s="4" t="n"/>
      <c r="C72" s="4" t="n"/>
      <c r="D72" s="4" t="n"/>
      <c r="E72" s="4" t="n"/>
      <c r="F72" s="4" t="n"/>
      <c r="G72" s="4" t="n"/>
    </row>
    <row r="73">
      <c r="A73" s="4" t="n"/>
      <c r="B73" s="4" t="n"/>
      <c r="C73" s="4" t="n"/>
      <c r="D73" s="4" t="n"/>
      <c r="E73" s="4" t="n"/>
      <c r="F73" s="4" t="n"/>
      <c r="G73" s="4" t="n"/>
    </row>
    <row r="74">
      <c r="A74" s="4" t="n"/>
      <c r="B74" s="4" t="n"/>
      <c r="C74" s="4" t="n"/>
      <c r="D74" s="4" t="n"/>
      <c r="E74" s="4" t="n"/>
      <c r="F74" s="4" t="n"/>
      <c r="G74" s="4" t="n"/>
    </row>
    <row r="75">
      <c r="A75" s="4" t="n"/>
      <c r="B75" s="4" t="n"/>
      <c r="C75" s="4" t="n"/>
      <c r="D75" s="4" t="n"/>
      <c r="E75" s="4" t="n"/>
      <c r="F75" s="4" t="n"/>
      <c r="G75" s="4" t="n"/>
    </row>
    <row r="76">
      <c r="A76" s="4" t="n"/>
      <c r="B76" s="4" t="n"/>
      <c r="C76" s="4" t="n"/>
      <c r="D76" s="4" t="n"/>
      <c r="E76" s="4" t="n"/>
      <c r="F76" s="4" t="n"/>
      <c r="G76" s="4" t="n"/>
    </row>
    <row r="77">
      <c r="A77" s="4" t="n"/>
      <c r="B77" s="4" t="n"/>
      <c r="C77" s="4" t="n"/>
      <c r="D77" s="4" t="n"/>
      <c r="E77" s="4" t="n"/>
      <c r="F77" s="4" t="n"/>
      <c r="G77" s="4" t="n"/>
    </row>
    <row r="78">
      <c r="A78" s="4" t="n"/>
      <c r="B78" s="4" t="n"/>
      <c r="C78" s="4" t="n"/>
      <c r="D78" s="4" t="n"/>
      <c r="E78" s="4" t="n"/>
      <c r="F78" s="4" t="n"/>
      <c r="G78" s="4" t="n"/>
    </row>
    <row r="79">
      <c r="A79" s="4" t="n"/>
      <c r="B79" s="4" t="n"/>
      <c r="C79" s="4" t="n"/>
      <c r="D79" s="4" t="n"/>
      <c r="E79" s="4" t="n"/>
      <c r="F79" s="4" t="n"/>
      <c r="G79" s="4" t="n"/>
    </row>
    <row r="80">
      <c r="A80" s="4" t="n"/>
      <c r="B80" s="4" t="n"/>
      <c r="C80" s="4" t="n"/>
      <c r="D80" s="4" t="n"/>
      <c r="E80" s="4" t="n"/>
      <c r="F80" s="4" t="n"/>
      <c r="G80" s="4" t="n"/>
    </row>
    <row r="81">
      <c r="A81" s="4" t="n"/>
      <c r="B81" s="4" t="n"/>
      <c r="C81" s="4" t="n"/>
      <c r="D81" s="4" t="n"/>
      <c r="E81" s="4" t="n"/>
      <c r="F81" s="4" t="n"/>
      <c r="G81" s="4" t="n"/>
    </row>
    <row r="82">
      <c r="A82" s="4" t="n"/>
      <c r="B82" s="4" t="n"/>
      <c r="C82" s="4" t="n"/>
      <c r="D82" s="4" t="n"/>
      <c r="E82" s="4" t="n"/>
      <c r="F82" s="4" t="n"/>
      <c r="G82" s="4" t="n"/>
    </row>
    <row r="83">
      <c r="A83" s="4" t="n"/>
      <c r="B83" s="4" t="n"/>
      <c r="C83" s="4" t="n"/>
      <c r="D83" s="4" t="n"/>
      <c r="E83" s="4" t="n"/>
      <c r="F83" s="4" t="n"/>
      <c r="G83" s="4" t="n"/>
    </row>
    <row r="84">
      <c r="A84" s="4" t="n"/>
      <c r="B84" s="4" t="n"/>
      <c r="C84" s="4" t="n"/>
      <c r="D84" s="4" t="n"/>
      <c r="E84" s="4" t="n"/>
      <c r="F84" s="4" t="n"/>
      <c r="G84" s="4" t="n"/>
    </row>
    <row r="85">
      <c r="A85" s="4" t="n"/>
      <c r="B85" s="4" t="n"/>
      <c r="C85" s="4" t="n"/>
      <c r="D85" s="4" t="n"/>
      <c r="E85" s="4" t="n"/>
      <c r="F85" s="4" t="n"/>
      <c r="G85" s="4" t="n"/>
    </row>
    <row r="86">
      <c r="A86" s="4" t="n"/>
      <c r="B86" s="4" t="n"/>
      <c r="C86" s="4" t="n"/>
      <c r="D86" s="4" t="n"/>
      <c r="E86" s="4" t="n"/>
      <c r="F86" s="4" t="n"/>
      <c r="G86" s="4" t="n"/>
    </row>
    <row r="87">
      <c r="A87" s="4" t="n"/>
      <c r="B87" s="4" t="n"/>
      <c r="C87" s="4" t="n"/>
      <c r="D87" s="4" t="n"/>
      <c r="E87" s="4" t="n"/>
      <c r="F87" s="4" t="n"/>
      <c r="G87" s="4" t="n"/>
    </row>
    <row r="88">
      <c r="A88" s="4" t="n"/>
      <c r="B88" s="4" t="n"/>
      <c r="C88" s="4" t="n"/>
      <c r="D88" s="4" t="n"/>
      <c r="E88" s="4" t="n"/>
      <c r="F88" s="4" t="n"/>
      <c r="G88" s="4" t="n"/>
    </row>
    <row r="89">
      <c r="A89" s="4" t="n"/>
      <c r="B89" s="4" t="n"/>
      <c r="C89" s="4" t="n"/>
      <c r="D89" s="4" t="n"/>
      <c r="E89" s="4" t="n"/>
      <c r="F89" s="4" t="n"/>
      <c r="G89" s="4" t="n"/>
    </row>
    <row r="90">
      <c r="A90" s="4" t="n"/>
      <c r="B90" s="4" t="n"/>
      <c r="C90" s="4" t="n"/>
      <c r="D90" s="4" t="n"/>
      <c r="E90" s="4" t="n"/>
      <c r="F90" s="4" t="n"/>
      <c r="G90" s="4" t="n"/>
    </row>
    <row r="91">
      <c r="A91" s="4" t="n"/>
      <c r="B91" s="4" t="n"/>
      <c r="C91" s="4" t="n"/>
      <c r="D91" s="4" t="n"/>
      <c r="E91" s="4" t="n"/>
      <c r="F91" s="4" t="n"/>
      <c r="G91" s="4" t="n"/>
    </row>
    <row r="92">
      <c r="A92" s="4" t="n"/>
      <c r="B92" s="4" t="n"/>
      <c r="C92" s="4" t="n"/>
      <c r="D92" s="4" t="n"/>
      <c r="E92" s="4" t="n"/>
      <c r="F92" s="4" t="n"/>
      <c r="G92" s="4" t="n"/>
    </row>
    <row r="93">
      <c r="A93" s="4" t="n"/>
      <c r="B93" s="4" t="n"/>
      <c r="C93" s="4" t="n"/>
      <c r="D93" s="4" t="n"/>
      <c r="E93" s="4" t="n"/>
      <c r="F93" s="4" t="n"/>
      <c r="G93" s="4" t="n"/>
    </row>
    <row r="94">
      <c r="A94" s="4" t="n"/>
      <c r="B94" s="4" t="n"/>
      <c r="C94" s="4" t="n"/>
      <c r="D94" s="4" t="n"/>
      <c r="E94" s="4" t="n"/>
      <c r="F94" s="4" t="n"/>
      <c r="G94" s="4" t="n"/>
    </row>
    <row r="95">
      <c r="A95" s="4" t="n"/>
      <c r="B95" s="4" t="n"/>
      <c r="C95" s="4" t="n"/>
      <c r="D95" s="4" t="n"/>
      <c r="E95" s="4" t="n"/>
      <c r="F95" s="4" t="n"/>
      <c r="G95" s="4" t="n"/>
    </row>
    <row r="96">
      <c r="A96" s="4" t="n"/>
      <c r="B96" s="4" t="n"/>
      <c r="C96" s="4" t="n"/>
      <c r="D96" s="4" t="n"/>
      <c r="E96" s="4" t="n"/>
      <c r="F96" s="4" t="n"/>
      <c r="G96" s="4" t="n"/>
    </row>
    <row r="97">
      <c r="A97" s="4" t="n"/>
      <c r="B97" s="4" t="n"/>
      <c r="C97" s="4" t="n"/>
      <c r="D97" s="4" t="n"/>
      <c r="E97" s="4" t="n"/>
      <c r="F97" s="4" t="n"/>
      <c r="G97" s="4" t="n"/>
    </row>
    <row r="98">
      <c r="A98" s="4" t="n"/>
      <c r="B98" s="4" t="n"/>
      <c r="C98" s="4" t="n"/>
      <c r="D98" s="4" t="n"/>
      <c r="E98" s="4" t="n"/>
      <c r="F98" s="4" t="n"/>
      <c r="G98" s="4" t="n"/>
    </row>
    <row r="99">
      <c r="A99" s="4" t="n"/>
      <c r="B99" s="4" t="n"/>
      <c r="C99" s="4" t="n"/>
      <c r="D99" s="4" t="n"/>
      <c r="E99" s="4" t="n"/>
      <c r="F99" s="4" t="n"/>
      <c r="G99" s="4" t="n"/>
    </row>
    <row r="100">
      <c r="A100" s="4" t="n"/>
      <c r="B100" s="4" t="n"/>
      <c r="C100" s="4" t="n"/>
      <c r="D100" s="4" t="n"/>
      <c r="E100" s="4" t="n"/>
      <c r="F100" s="4" t="n"/>
      <c r="G100" s="4" t="n"/>
    </row>
    <row r="101">
      <c r="A101" s="4" t="n"/>
      <c r="B101" s="4" t="n"/>
      <c r="C101" s="4" t="n"/>
      <c r="D101" s="4" t="n"/>
      <c r="E101" s="4" t="n"/>
      <c r="F101" s="4" t="n"/>
      <c r="G10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10" customWidth="1" min="5" max="5"/>
    <col width="11" customWidth="1" min="6" max="6"/>
    <col width="11" customWidth="1" min="7" max="7"/>
    <col width="13" customWidth="1" min="8" max="8"/>
  </cols>
  <sheetData>
    <row r="1">
      <c r="A1" s="3" t="inlineStr">
        <is>
          <t>平台</t>
        </is>
      </c>
      <c r="B1" s="3" t="inlineStr">
        <is>
          <t>订单号</t>
        </is>
      </c>
      <c r="C1" s="3" t="inlineStr">
        <is>
          <t>应收(实付+运费)</t>
        </is>
      </c>
      <c r="D1" s="3" t="inlineStr">
        <is>
          <t>资金侧核对额</t>
        </is>
      </c>
      <c r="E1" s="3" t="inlineStr">
        <is>
          <t>结算笔数</t>
        </is>
      </c>
      <c r="F1" s="3" t="inlineStr">
        <is>
          <t>金额差异</t>
        </is>
      </c>
      <c r="G1" s="3" t="inlineStr">
        <is>
          <t>退款差异</t>
        </is>
      </c>
      <c r="H1" s="3" t="inlineStr">
        <is>
          <t>结果</t>
        </is>
      </c>
    </row>
    <row r="2">
      <c r="A2">
        <f>IF(订单数据!B2="","",订单数据!A2)</f>
        <v/>
      </c>
      <c r="B2">
        <f>IF(订单数据!B2="","",订单数据!B2)</f>
        <v/>
      </c>
      <c r="C2" s="6">
        <f>IF($B2="","",ROUND(订单数据!C2+订单数据!D2,2))</f>
        <v/>
      </c>
      <c r="D2" s="6">
        <f>IF($B2="","",ROUND(SUMIFS(资金账单!$G$2:$G$101,资金账单!$B$2:$B$101,$B2)+SUMIFS(资金账单!$D$2:$D$101,资金账单!$B$2:$B$101,$B2)+SUMIFS(资金账单!$E$2:$E$101,资金账单!$B$2:$B$101,$B2)+SUMIFS(资金账单!$F$2:$F$101,资金账单!$B$2:$B$101,$B2),2))</f>
        <v/>
      </c>
      <c r="E2">
        <f>IF($B2="","",COUNTIF(资金账单!$B$2:$B$101,$B2))</f>
        <v/>
      </c>
      <c r="F2" s="6">
        <f>IF($B2="","",ROUND($C2-$D2,2))</f>
        <v/>
      </c>
      <c r="G2" s="6">
        <f>IF($B2="","",ROUND(订单数据!E2-SUMIFS(资金账单!$F$2:$F$101,资金账单!$B$2:$B$101,$B2),2))</f>
        <v/>
      </c>
      <c r="H2">
        <f>IF($B2="","",IF($E2=0,"⚠未结算",IF($E2&gt;1,"❌重复结算",IF(AND(ABS($G2)&gt;0.01,ABS($F2)&lt;=0.01),"❌退款未同步",IF(OR(ABS($F2)&gt;0.01,ABS($G2)&gt;0.01),"❌金额差异","✓")))))</f>
        <v/>
      </c>
    </row>
    <row r="3">
      <c r="A3">
        <f>IF(订单数据!B3="","",订单数据!A3)</f>
        <v/>
      </c>
      <c r="B3">
        <f>IF(订单数据!B3="","",订单数据!B3)</f>
        <v/>
      </c>
      <c r="C3" s="6">
        <f>IF($B3="","",ROUND(订单数据!C3+订单数据!D3,2))</f>
        <v/>
      </c>
      <c r="D3" s="6">
        <f>IF($B3="","",ROUND(SUMIFS(资金账单!$G$2:$G$101,资金账单!$B$2:$B$101,$B3)+SUMIFS(资金账单!$D$2:$D$101,资金账单!$B$2:$B$101,$B3)+SUMIFS(资金账单!$E$2:$E$101,资金账单!$B$2:$B$101,$B3)+SUMIFS(资金账单!$F$2:$F$101,资金账单!$B$2:$B$101,$B3),2))</f>
        <v/>
      </c>
      <c r="E3">
        <f>IF($B3="","",COUNTIF(资金账单!$B$2:$B$101,$B3))</f>
        <v/>
      </c>
      <c r="F3" s="6">
        <f>IF($B3="","",ROUND($C3-$D3,2))</f>
        <v/>
      </c>
      <c r="G3" s="6">
        <f>IF($B3="","",ROUND(订单数据!E3-SUMIFS(资金账单!$F$2:$F$101,资金账单!$B$2:$B$101,$B3),2))</f>
        <v/>
      </c>
      <c r="H3">
        <f>IF($B3="","",IF($E3=0,"⚠未结算",IF($E3&gt;1,"❌重复结算",IF(AND(ABS($G3)&gt;0.01,ABS($F3)&lt;=0.01),"❌退款未同步",IF(OR(ABS($F3)&gt;0.01,ABS($G3)&gt;0.01),"❌金额差异","✓")))))</f>
        <v/>
      </c>
    </row>
    <row r="4">
      <c r="A4">
        <f>IF(订单数据!B4="","",订单数据!A4)</f>
        <v/>
      </c>
      <c r="B4">
        <f>IF(订单数据!B4="","",订单数据!B4)</f>
        <v/>
      </c>
      <c r="C4" s="6">
        <f>IF($B4="","",ROUND(订单数据!C4+订单数据!D4,2))</f>
        <v/>
      </c>
      <c r="D4" s="6">
        <f>IF($B4="","",ROUND(SUMIFS(资金账单!$G$2:$G$101,资金账单!$B$2:$B$101,$B4)+SUMIFS(资金账单!$D$2:$D$101,资金账单!$B$2:$B$101,$B4)+SUMIFS(资金账单!$E$2:$E$101,资金账单!$B$2:$B$101,$B4)+SUMIFS(资金账单!$F$2:$F$101,资金账单!$B$2:$B$101,$B4),2))</f>
        <v/>
      </c>
      <c r="E4">
        <f>IF($B4="","",COUNTIF(资金账单!$B$2:$B$101,$B4))</f>
        <v/>
      </c>
      <c r="F4" s="6">
        <f>IF($B4="","",ROUND($C4-$D4,2))</f>
        <v/>
      </c>
      <c r="G4" s="6">
        <f>IF($B4="","",ROUND(订单数据!E4-SUMIFS(资金账单!$F$2:$F$101,资金账单!$B$2:$B$101,$B4),2))</f>
        <v/>
      </c>
      <c r="H4">
        <f>IF($B4="","",IF($E4=0,"⚠未结算",IF($E4&gt;1,"❌重复结算",IF(AND(ABS($G4)&gt;0.01,ABS($F4)&lt;=0.01),"❌退款未同步",IF(OR(ABS($F4)&gt;0.01,ABS($G4)&gt;0.01),"❌金额差异","✓")))))</f>
        <v/>
      </c>
    </row>
    <row r="5">
      <c r="A5">
        <f>IF(订单数据!B5="","",订单数据!A5)</f>
        <v/>
      </c>
      <c r="B5">
        <f>IF(订单数据!B5="","",订单数据!B5)</f>
        <v/>
      </c>
      <c r="C5" s="6">
        <f>IF($B5="","",ROUND(订单数据!C5+订单数据!D5,2))</f>
        <v/>
      </c>
      <c r="D5" s="6">
        <f>IF($B5="","",ROUND(SUMIFS(资金账单!$G$2:$G$101,资金账单!$B$2:$B$101,$B5)+SUMIFS(资金账单!$D$2:$D$101,资金账单!$B$2:$B$101,$B5)+SUMIFS(资金账单!$E$2:$E$101,资金账单!$B$2:$B$101,$B5)+SUMIFS(资金账单!$F$2:$F$101,资金账单!$B$2:$B$101,$B5),2))</f>
        <v/>
      </c>
      <c r="E5">
        <f>IF($B5="","",COUNTIF(资金账单!$B$2:$B$101,$B5))</f>
        <v/>
      </c>
      <c r="F5" s="6">
        <f>IF($B5="","",ROUND($C5-$D5,2))</f>
        <v/>
      </c>
      <c r="G5" s="6">
        <f>IF($B5="","",ROUND(订单数据!E5-SUMIFS(资金账单!$F$2:$F$101,资金账单!$B$2:$B$101,$B5),2))</f>
        <v/>
      </c>
      <c r="H5">
        <f>IF($B5="","",IF($E5=0,"⚠未结算",IF($E5&gt;1,"❌重复结算",IF(AND(ABS($G5)&gt;0.01,ABS($F5)&lt;=0.01),"❌退款未同步",IF(OR(ABS($F5)&gt;0.01,ABS($G5)&gt;0.01),"❌金额差异","✓")))))</f>
        <v/>
      </c>
    </row>
    <row r="6">
      <c r="A6">
        <f>IF(订单数据!B6="","",订单数据!A6)</f>
        <v/>
      </c>
      <c r="B6">
        <f>IF(订单数据!B6="","",订单数据!B6)</f>
        <v/>
      </c>
      <c r="C6" s="6">
        <f>IF($B6="","",ROUND(订单数据!C6+订单数据!D6,2))</f>
        <v/>
      </c>
      <c r="D6" s="6">
        <f>IF($B6="","",ROUND(SUMIFS(资金账单!$G$2:$G$101,资金账单!$B$2:$B$101,$B6)+SUMIFS(资金账单!$D$2:$D$101,资金账单!$B$2:$B$101,$B6)+SUMIFS(资金账单!$E$2:$E$101,资金账单!$B$2:$B$101,$B6)+SUMIFS(资金账单!$F$2:$F$101,资金账单!$B$2:$B$101,$B6),2))</f>
        <v/>
      </c>
      <c r="E6">
        <f>IF($B6="","",COUNTIF(资金账单!$B$2:$B$101,$B6))</f>
        <v/>
      </c>
      <c r="F6" s="6">
        <f>IF($B6="","",ROUND($C6-$D6,2))</f>
        <v/>
      </c>
      <c r="G6" s="6">
        <f>IF($B6="","",ROUND(订单数据!E6-SUMIFS(资金账单!$F$2:$F$101,资金账单!$B$2:$B$101,$B6),2))</f>
        <v/>
      </c>
      <c r="H6">
        <f>IF($B6="","",IF($E6=0,"⚠未结算",IF($E6&gt;1,"❌重复结算",IF(AND(ABS($G6)&gt;0.01,ABS($F6)&lt;=0.01),"❌退款未同步",IF(OR(ABS($F6)&gt;0.01,ABS($G6)&gt;0.01),"❌金额差异","✓")))))</f>
        <v/>
      </c>
    </row>
    <row r="7">
      <c r="A7">
        <f>IF(订单数据!B7="","",订单数据!A7)</f>
        <v/>
      </c>
      <c r="B7">
        <f>IF(订单数据!B7="","",订单数据!B7)</f>
        <v/>
      </c>
      <c r="C7" s="6">
        <f>IF($B7="","",ROUND(订单数据!C7+订单数据!D7,2))</f>
        <v/>
      </c>
      <c r="D7" s="6">
        <f>IF($B7="","",ROUND(SUMIFS(资金账单!$G$2:$G$101,资金账单!$B$2:$B$101,$B7)+SUMIFS(资金账单!$D$2:$D$101,资金账单!$B$2:$B$101,$B7)+SUMIFS(资金账单!$E$2:$E$101,资金账单!$B$2:$B$101,$B7)+SUMIFS(资金账单!$F$2:$F$101,资金账单!$B$2:$B$101,$B7),2))</f>
        <v/>
      </c>
      <c r="E7">
        <f>IF($B7="","",COUNTIF(资金账单!$B$2:$B$101,$B7))</f>
        <v/>
      </c>
      <c r="F7" s="6">
        <f>IF($B7="","",ROUND($C7-$D7,2))</f>
        <v/>
      </c>
      <c r="G7" s="6">
        <f>IF($B7="","",ROUND(订单数据!E7-SUMIFS(资金账单!$F$2:$F$101,资金账单!$B$2:$B$101,$B7),2))</f>
        <v/>
      </c>
      <c r="H7">
        <f>IF($B7="","",IF($E7=0,"⚠未结算",IF($E7&gt;1,"❌重复结算",IF(AND(ABS($G7)&gt;0.01,ABS($F7)&lt;=0.01),"❌退款未同步",IF(OR(ABS($F7)&gt;0.01,ABS($G7)&gt;0.01),"❌金额差异","✓")))))</f>
        <v/>
      </c>
    </row>
    <row r="8">
      <c r="A8">
        <f>IF(订单数据!B8="","",订单数据!A8)</f>
        <v/>
      </c>
      <c r="B8">
        <f>IF(订单数据!B8="","",订单数据!B8)</f>
        <v/>
      </c>
      <c r="C8" s="6">
        <f>IF($B8="","",ROUND(订单数据!C8+订单数据!D8,2))</f>
        <v/>
      </c>
      <c r="D8" s="6">
        <f>IF($B8="","",ROUND(SUMIFS(资金账单!$G$2:$G$101,资金账单!$B$2:$B$101,$B8)+SUMIFS(资金账单!$D$2:$D$101,资金账单!$B$2:$B$101,$B8)+SUMIFS(资金账单!$E$2:$E$101,资金账单!$B$2:$B$101,$B8)+SUMIFS(资金账单!$F$2:$F$101,资金账单!$B$2:$B$101,$B8),2))</f>
        <v/>
      </c>
      <c r="E8">
        <f>IF($B8="","",COUNTIF(资金账单!$B$2:$B$101,$B8))</f>
        <v/>
      </c>
      <c r="F8" s="6">
        <f>IF($B8="","",ROUND($C8-$D8,2))</f>
        <v/>
      </c>
      <c r="G8" s="6">
        <f>IF($B8="","",ROUND(订单数据!E8-SUMIFS(资金账单!$F$2:$F$101,资金账单!$B$2:$B$101,$B8),2))</f>
        <v/>
      </c>
      <c r="H8">
        <f>IF($B8="","",IF($E8=0,"⚠未结算",IF($E8&gt;1,"❌重复结算",IF(AND(ABS($G8)&gt;0.01,ABS($F8)&lt;=0.01),"❌退款未同步",IF(OR(ABS($F8)&gt;0.01,ABS($G8)&gt;0.01),"❌金额差异","✓")))))</f>
        <v/>
      </c>
    </row>
    <row r="9">
      <c r="A9">
        <f>IF(订单数据!B9="","",订单数据!A9)</f>
        <v/>
      </c>
      <c r="B9">
        <f>IF(订单数据!B9="","",订单数据!B9)</f>
        <v/>
      </c>
      <c r="C9" s="6">
        <f>IF($B9="","",ROUND(订单数据!C9+订单数据!D9,2))</f>
        <v/>
      </c>
      <c r="D9" s="6">
        <f>IF($B9="","",ROUND(SUMIFS(资金账单!$G$2:$G$101,资金账单!$B$2:$B$101,$B9)+SUMIFS(资金账单!$D$2:$D$101,资金账单!$B$2:$B$101,$B9)+SUMIFS(资金账单!$E$2:$E$101,资金账单!$B$2:$B$101,$B9)+SUMIFS(资金账单!$F$2:$F$101,资金账单!$B$2:$B$101,$B9),2))</f>
        <v/>
      </c>
      <c r="E9">
        <f>IF($B9="","",COUNTIF(资金账单!$B$2:$B$101,$B9))</f>
        <v/>
      </c>
      <c r="F9" s="6">
        <f>IF($B9="","",ROUND($C9-$D9,2))</f>
        <v/>
      </c>
      <c r="G9" s="6">
        <f>IF($B9="","",ROUND(订单数据!E9-SUMIFS(资金账单!$F$2:$F$101,资金账单!$B$2:$B$101,$B9),2))</f>
        <v/>
      </c>
      <c r="H9">
        <f>IF($B9="","",IF($E9=0,"⚠未结算",IF($E9&gt;1,"❌重复结算",IF(AND(ABS($G9)&gt;0.01,ABS($F9)&lt;=0.01),"❌退款未同步",IF(OR(ABS($F9)&gt;0.01,ABS($G9)&gt;0.01),"❌金额差异","✓")))))</f>
        <v/>
      </c>
    </row>
    <row r="10">
      <c r="A10">
        <f>IF(订单数据!B10="","",订单数据!A10)</f>
        <v/>
      </c>
      <c r="B10">
        <f>IF(订单数据!B10="","",订单数据!B10)</f>
        <v/>
      </c>
      <c r="C10" s="6">
        <f>IF($B10="","",ROUND(订单数据!C10+订单数据!D10,2))</f>
        <v/>
      </c>
      <c r="D10" s="6">
        <f>IF($B10="","",ROUND(SUMIFS(资金账单!$G$2:$G$101,资金账单!$B$2:$B$101,$B10)+SUMIFS(资金账单!$D$2:$D$101,资金账单!$B$2:$B$101,$B10)+SUMIFS(资金账单!$E$2:$E$101,资金账单!$B$2:$B$101,$B10)+SUMIFS(资金账单!$F$2:$F$101,资金账单!$B$2:$B$101,$B10),2))</f>
        <v/>
      </c>
      <c r="E10">
        <f>IF($B10="","",COUNTIF(资金账单!$B$2:$B$101,$B10))</f>
        <v/>
      </c>
      <c r="F10" s="6">
        <f>IF($B10="","",ROUND($C10-$D10,2))</f>
        <v/>
      </c>
      <c r="G10" s="6">
        <f>IF($B10="","",ROUND(订单数据!E10-SUMIFS(资金账单!$F$2:$F$101,资金账单!$B$2:$B$101,$B10),2))</f>
        <v/>
      </c>
      <c r="H10">
        <f>IF($B10="","",IF($E10=0,"⚠未结算",IF($E10&gt;1,"❌重复结算",IF(AND(ABS($G10)&gt;0.01,ABS($F10)&lt;=0.01),"❌退款未同步",IF(OR(ABS($F10)&gt;0.01,ABS($G10)&gt;0.01),"❌金额差异","✓")))))</f>
        <v/>
      </c>
    </row>
    <row r="11">
      <c r="A11">
        <f>IF(订单数据!B11="","",订单数据!A11)</f>
        <v/>
      </c>
      <c r="B11">
        <f>IF(订单数据!B11="","",订单数据!B11)</f>
        <v/>
      </c>
      <c r="C11" s="6">
        <f>IF($B11="","",ROUND(订单数据!C11+订单数据!D11,2))</f>
        <v/>
      </c>
      <c r="D11" s="6">
        <f>IF($B11="","",ROUND(SUMIFS(资金账单!$G$2:$G$101,资金账单!$B$2:$B$101,$B11)+SUMIFS(资金账单!$D$2:$D$101,资金账单!$B$2:$B$101,$B11)+SUMIFS(资金账单!$E$2:$E$101,资金账单!$B$2:$B$101,$B11)+SUMIFS(资金账单!$F$2:$F$101,资金账单!$B$2:$B$101,$B11),2))</f>
        <v/>
      </c>
      <c r="E11">
        <f>IF($B11="","",COUNTIF(资金账单!$B$2:$B$101,$B11))</f>
        <v/>
      </c>
      <c r="F11" s="6">
        <f>IF($B11="","",ROUND($C11-$D11,2))</f>
        <v/>
      </c>
      <c r="G11" s="6">
        <f>IF($B11="","",ROUND(订单数据!E11-SUMIFS(资金账单!$F$2:$F$101,资金账单!$B$2:$B$101,$B11),2))</f>
        <v/>
      </c>
      <c r="H11">
        <f>IF($B11="","",IF($E11=0,"⚠未结算",IF($E11&gt;1,"❌重复结算",IF(AND(ABS($G11)&gt;0.01,ABS($F11)&lt;=0.01),"❌退款未同步",IF(OR(ABS($F11)&gt;0.01,ABS($G11)&gt;0.01),"❌金额差异","✓")))))</f>
        <v/>
      </c>
    </row>
    <row r="12">
      <c r="A12">
        <f>IF(订单数据!B12="","",订单数据!A12)</f>
        <v/>
      </c>
      <c r="B12">
        <f>IF(订单数据!B12="","",订单数据!B12)</f>
        <v/>
      </c>
      <c r="C12" s="6">
        <f>IF($B12="","",ROUND(订单数据!C12+订单数据!D12,2))</f>
        <v/>
      </c>
      <c r="D12" s="6">
        <f>IF($B12="","",ROUND(SUMIFS(资金账单!$G$2:$G$101,资金账单!$B$2:$B$101,$B12)+SUMIFS(资金账单!$D$2:$D$101,资金账单!$B$2:$B$101,$B12)+SUMIFS(资金账单!$E$2:$E$101,资金账单!$B$2:$B$101,$B12)+SUMIFS(资金账单!$F$2:$F$101,资金账单!$B$2:$B$101,$B12),2))</f>
        <v/>
      </c>
      <c r="E12">
        <f>IF($B12="","",COUNTIF(资金账单!$B$2:$B$101,$B12))</f>
        <v/>
      </c>
      <c r="F12" s="6">
        <f>IF($B12="","",ROUND($C12-$D12,2))</f>
        <v/>
      </c>
      <c r="G12" s="6">
        <f>IF($B12="","",ROUND(订单数据!E12-SUMIFS(资金账单!$F$2:$F$101,资金账单!$B$2:$B$101,$B12),2))</f>
        <v/>
      </c>
      <c r="H12">
        <f>IF($B12="","",IF($E12=0,"⚠未结算",IF($E12&gt;1,"❌重复结算",IF(AND(ABS($G12)&gt;0.01,ABS($F12)&lt;=0.01),"❌退款未同步",IF(OR(ABS($F12)&gt;0.01,ABS($G12)&gt;0.01),"❌金额差异","✓")))))</f>
        <v/>
      </c>
    </row>
    <row r="13">
      <c r="A13">
        <f>IF(订单数据!B13="","",订单数据!A13)</f>
        <v/>
      </c>
      <c r="B13">
        <f>IF(订单数据!B13="","",订单数据!B13)</f>
        <v/>
      </c>
      <c r="C13" s="6">
        <f>IF($B13="","",ROUND(订单数据!C13+订单数据!D13,2))</f>
        <v/>
      </c>
      <c r="D13" s="6">
        <f>IF($B13="","",ROUND(SUMIFS(资金账单!$G$2:$G$101,资金账单!$B$2:$B$101,$B13)+SUMIFS(资金账单!$D$2:$D$101,资金账单!$B$2:$B$101,$B13)+SUMIFS(资金账单!$E$2:$E$101,资金账单!$B$2:$B$101,$B13)+SUMIFS(资金账单!$F$2:$F$101,资金账单!$B$2:$B$101,$B13),2))</f>
        <v/>
      </c>
      <c r="E13">
        <f>IF($B13="","",COUNTIF(资金账单!$B$2:$B$101,$B13))</f>
        <v/>
      </c>
      <c r="F13" s="6">
        <f>IF($B13="","",ROUND($C13-$D13,2))</f>
        <v/>
      </c>
      <c r="G13" s="6">
        <f>IF($B13="","",ROUND(订单数据!E13-SUMIFS(资金账单!$F$2:$F$101,资金账单!$B$2:$B$101,$B13),2))</f>
        <v/>
      </c>
      <c r="H13">
        <f>IF($B13="","",IF($E13=0,"⚠未结算",IF($E13&gt;1,"❌重复结算",IF(AND(ABS($G13)&gt;0.01,ABS($F13)&lt;=0.01),"❌退款未同步",IF(OR(ABS($F13)&gt;0.01,ABS($G13)&gt;0.01),"❌金额差异","✓")))))</f>
        <v/>
      </c>
    </row>
    <row r="14">
      <c r="A14">
        <f>IF(订单数据!B14="","",订单数据!A14)</f>
        <v/>
      </c>
      <c r="B14">
        <f>IF(订单数据!B14="","",订单数据!B14)</f>
        <v/>
      </c>
      <c r="C14" s="6">
        <f>IF($B14="","",ROUND(订单数据!C14+订单数据!D14,2))</f>
        <v/>
      </c>
      <c r="D14" s="6">
        <f>IF($B14="","",ROUND(SUMIFS(资金账单!$G$2:$G$101,资金账单!$B$2:$B$101,$B14)+SUMIFS(资金账单!$D$2:$D$101,资金账单!$B$2:$B$101,$B14)+SUMIFS(资金账单!$E$2:$E$101,资金账单!$B$2:$B$101,$B14)+SUMIFS(资金账单!$F$2:$F$101,资金账单!$B$2:$B$101,$B14),2))</f>
        <v/>
      </c>
      <c r="E14">
        <f>IF($B14="","",COUNTIF(资金账单!$B$2:$B$101,$B14))</f>
        <v/>
      </c>
      <c r="F14" s="6">
        <f>IF($B14="","",ROUND($C14-$D14,2))</f>
        <v/>
      </c>
      <c r="G14" s="6">
        <f>IF($B14="","",ROUND(订单数据!E14-SUMIFS(资金账单!$F$2:$F$101,资金账单!$B$2:$B$101,$B14),2))</f>
        <v/>
      </c>
      <c r="H14">
        <f>IF($B14="","",IF($E14=0,"⚠未结算",IF($E14&gt;1,"❌重复结算",IF(AND(ABS($G14)&gt;0.01,ABS($F14)&lt;=0.01),"❌退款未同步",IF(OR(ABS($F14)&gt;0.01,ABS($G14)&gt;0.01),"❌金额差异","✓")))))</f>
        <v/>
      </c>
    </row>
    <row r="15">
      <c r="A15">
        <f>IF(订单数据!B15="","",订单数据!A15)</f>
        <v/>
      </c>
      <c r="B15">
        <f>IF(订单数据!B15="","",订单数据!B15)</f>
        <v/>
      </c>
      <c r="C15" s="6">
        <f>IF($B15="","",ROUND(订单数据!C15+订单数据!D15,2))</f>
        <v/>
      </c>
      <c r="D15" s="6">
        <f>IF($B15="","",ROUND(SUMIFS(资金账单!$G$2:$G$101,资金账单!$B$2:$B$101,$B15)+SUMIFS(资金账单!$D$2:$D$101,资金账单!$B$2:$B$101,$B15)+SUMIFS(资金账单!$E$2:$E$101,资金账单!$B$2:$B$101,$B15)+SUMIFS(资金账单!$F$2:$F$101,资金账单!$B$2:$B$101,$B15),2))</f>
        <v/>
      </c>
      <c r="E15">
        <f>IF($B15="","",COUNTIF(资金账单!$B$2:$B$101,$B15))</f>
        <v/>
      </c>
      <c r="F15" s="6">
        <f>IF($B15="","",ROUND($C15-$D15,2))</f>
        <v/>
      </c>
      <c r="G15" s="6">
        <f>IF($B15="","",ROUND(订单数据!E15-SUMIFS(资金账单!$F$2:$F$101,资金账单!$B$2:$B$101,$B15),2))</f>
        <v/>
      </c>
      <c r="H15">
        <f>IF($B15="","",IF($E15=0,"⚠未结算",IF($E15&gt;1,"❌重复结算",IF(AND(ABS($G15)&gt;0.01,ABS($F15)&lt;=0.01),"❌退款未同步",IF(OR(ABS($F15)&gt;0.01,ABS($G15)&gt;0.01),"❌金额差异","✓")))))</f>
        <v/>
      </c>
    </row>
    <row r="16">
      <c r="A16">
        <f>IF(订单数据!B16="","",订单数据!A16)</f>
        <v/>
      </c>
      <c r="B16">
        <f>IF(订单数据!B16="","",订单数据!B16)</f>
        <v/>
      </c>
      <c r="C16" s="6">
        <f>IF($B16="","",ROUND(订单数据!C16+订单数据!D16,2))</f>
        <v/>
      </c>
      <c r="D16" s="6">
        <f>IF($B16="","",ROUND(SUMIFS(资金账单!$G$2:$G$101,资金账单!$B$2:$B$101,$B16)+SUMIFS(资金账单!$D$2:$D$101,资金账单!$B$2:$B$101,$B16)+SUMIFS(资金账单!$E$2:$E$101,资金账单!$B$2:$B$101,$B16)+SUMIFS(资金账单!$F$2:$F$101,资金账单!$B$2:$B$101,$B16),2))</f>
        <v/>
      </c>
      <c r="E16">
        <f>IF($B16="","",COUNTIF(资金账单!$B$2:$B$101,$B16))</f>
        <v/>
      </c>
      <c r="F16" s="6">
        <f>IF($B16="","",ROUND($C16-$D16,2))</f>
        <v/>
      </c>
      <c r="G16" s="6">
        <f>IF($B16="","",ROUND(订单数据!E16-SUMIFS(资金账单!$F$2:$F$101,资金账单!$B$2:$B$101,$B16),2))</f>
        <v/>
      </c>
      <c r="H16">
        <f>IF($B16="","",IF($E16=0,"⚠未结算",IF($E16&gt;1,"❌重复结算",IF(AND(ABS($G16)&gt;0.01,ABS($F16)&lt;=0.01),"❌退款未同步",IF(OR(ABS($F16)&gt;0.01,ABS($G16)&gt;0.01),"❌金额差异","✓")))))</f>
        <v/>
      </c>
    </row>
    <row r="17">
      <c r="A17">
        <f>IF(订单数据!B17="","",订单数据!A17)</f>
        <v/>
      </c>
      <c r="B17">
        <f>IF(订单数据!B17="","",订单数据!B17)</f>
        <v/>
      </c>
      <c r="C17" s="6">
        <f>IF($B17="","",ROUND(订单数据!C17+订单数据!D17,2))</f>
        <v/>
      </c>
      <c r="D17" s="6">
        <f>IF($B17="","",ROUND(SUMIFS(资金账单!$G$2:$G$101,资金账单!$B$2:$B$101,$B17)+SUMIFS(资金账单!$D$2:$D$101,资金账单!$B$2:$B$101,$B17)+SUMIFS(资金账单!$E$2:$E$101,资金账单!$B$2:$B$101,$B17)+SUMIFS(资金账单!$F$2:$F$101,资金账单!$B$2:$B$101,$B17),2))</f>
        <v/>
      </c>
      <c r="E17">
        <f>IF($B17="","",COUNTIF(资金账单!$B$2:$B$101,$B17))</f>
        <v/>
      </c>
      <c r="F17" s="6">
        <f>IF($B17="","",ROUND($C17-$D17,2))</f>
        <v/>
      </c>
      <c r="G17" s="6">
        <f>IF($B17="","",ROUND(订单数据!E17-SUMIFS(资金账单!$F$2:$F$101,资金账单!$B$2:$B$101,$B17),2))</f>
        <v/>
      </c>
      <c r="H17">
        <f>IF($B17="","",IF($E17=0,"⚠未结算",IF($E17&gt;1,"❌重复结算",IF(AND(ABS($G17)&gt;0.01,ABS($F17)&lt;=0.01),"❌退款未同步",IF(OR(ABS($F17)&gt;0.01,ABS($G17)&gt;0.01),"❌金额差异","✓")))))</f>
        <v/>
      </c>
    </row>
    <row r="18">
      <c r="A18">
        <f>IF(订单数据!B18="","",订单数据!A18)</f>
        <v/>
      </c>
      <c r="B18">
        <f>IF(订单数据!B18="","",订单数据!B18)</f>
        <v/>
      </c>
      <c r="C18" s="6">
        <f>IF($B18="","",ROUND(订单数据!C18+订单数据!D18,2))</f>
        <v/>
      </c>
      <c r="D18" s="6">
        <f>IF($B18="","",ROUND(SUMIFS(资金账单!$G$2:$G$101,资金账单!$B$2:$B$101,$B18)+SUMIFS(资金账单!$D$2:$D$101,资金账单!$B$2:$B$101,$B18)+SUMIFS(资金账单!$E$2:$E$101,资金账单!$B$2:$B$101,$B18)+SUMIFS(资金账单!$F$2:$F$101,资金账单!$B$2:$B$101,$B18),2))</f>
        <v/>
      </c>
      <c r="E18">
        <f>IF($B18="","",COUNTIF(资金账单!$B$2:$B$101,$B18))</f>
        <v/>
      </c>
      <c r="F18" s="6">
        <f>IF($B18="","",ROUND($C18-$D18,2))</f>
        <v/>
      </c>
      <c r="G18" s="6">
        <f>IF($B18="","",ROUND(订单数据!E18-SUMIFS(资金账单!$F$2:$F$101,资金账单!$B$2:$B$101,$B18),2))</f>
        <v/>
      </c>
      <c r="H18">
        <f>IF($B18="","",IF($E18=0,"⚠未结算",IF($E18&gt;1,"❌重复结算",IF(AND(ABS($G18)&gt;0.01,ABS($F18)&lt;=0.01),"❌退款未同步",IF(OR(ABS($F18)&gt;0.01,ABS($G18)&gt;0.01),"❌金额差异","✓")))))</f>
        <v/>
      </c>
    </row>
    <row r="19">
      <c r="A19">
        <f>IF(订单数据!B19="","",订单数据!A19)</f>
        <v/>
      </c>
      <c r="B19">
        <f>IF(订单数据!B19="","",订单数据!B19)</f>
        <v/>
      </c>
      <c r="C19" s="6">
        <f>IF($B19="","",ROUND(订单数据!C19+订单数据!D19,2))</f>
        <v/>
      </c>
      <c r="D19" s="6">
        <f>IF($B19="","",ROUND(SUMIFS(资金账单!$G$2:$G$101,资金账单!$B$2:$B$101,$B19)+SUMIFS(资金账单!$D$2:$D$101,资金账单!$B$2:$B$101,$B19)+SUMIFS(资金账单!$E$2:$E$101,资金账单!$B$2:$B$101,$B19)+SUMIFS(资金账单!$F$2:$F$101,资金账单!$B$2:$B$101,$B19),2))</f>
        <v/>
      </c>
      <c r="E19">
        <f>IF($B19="","",COUNTIF(资金账单!$B$2:$B$101,$B19))</f>
        <v/>
      </c>
      <c r="F19" s="6">
        <f>IF($B19="","",ROUND($C19-$D19,2))</f>
        <v/>
      </c>
      <c r="G19" s="6">
        <f>IF($B19="","",ROUND(订单数据!E19-SUMIFS(资金账单!$F$2:$F$101,资金账单!$B$2:$B$101,$B19),2))</f>
        <v/>
      </c>
      <c r="H19">
        <f>IF($B19="","",IF($E19=0,"⚠未结算",IF($E19&gt;1,"❌重复结算",IF(AND(ABS($G19)&gt;0.01,ABS($F19)&lt;=0.01),"❌退款未同步",IF(OR(ABS($F19)&gt;0.01,ABS($G19)&gt;0.01),"❌金额差异","✓")))))</f>
        <v/>
      </c>
    </row>
    <row r="20">
      <c r="A20">
        <f>IF(订单数据!B20="","",订单数据!A20)</f>
        <v/>
      </c>
      <c r="B20">
        <f>IF(订单数据!B20="","",订单数据!B20)</f>
        <v/>
      </c>
      <c r="C20" s="6">
        <f>IF($B20="","",ROUND(订单数据!C20+订单数据!D20,2))</f>
        <v/>
      </c>
      <c r="D20" s="6">
        <f>IF($B20="","",ROUND(SUMIFS(资金账单!$G$2:$G$101,资金账单!$B$2:$B$101,$B20)+SUMIFS(资金账单!$D$2:$D$101,资金账单!$B$2:$B$101,$B20)+SUMIFS(资金账单!$E$2:$E$101,资金账单!$B$2:$B$101,$B20)+SUMIFS(资金账单!$F$2:$F$101,资金账单!$B$2:$B$101,$B20),2))</f>
        <v/>
      </c>
      <c r="E20">
        <f>IF($B20="","",COUNTIF(资金账单!$B$2:$B$101,$B20))</f>
        <v/>
      </c>
      <c r="F20" s="6">
        <f>IF($B20="","",ROUND($C20-$D20,2))</f>
        <v/>
      </c>
      <c r="G20" s="6">
        <f>IF($B20="","",ROUND(订单数据!E20-SUMIFS(资金账单!$F$2:$F$101,资金账单!$B$2:$B$101,$B20),2))</f>
        <v/>
      </c>
      <c r="H20">
        <f>IF($B20="","",IF($E20=0,"⚠未结算",IF($E20&gt;1,"❌重复结算",IF(AND(ABS($G20)&gt;0.01,ABS($F20)&lt;=0.01),"❌退款未同步",IF(OR(ABS($F20)&gt;0.01,ABS($G20)&gt;0.01),"❌金额差异","✓")))))</f>
        <v/>
      </c>
    </row>
    <row r="21">
      <c r="A21">
        <f>IF(订单数据!B21="","",订单数据!A21)</f>
        <v/>
      </c>
      <c r="B21">
        <f>IF(订单数据!B21="","",订单数据!B21)</f>
        <v/>
      </c>
      <c r="C21" s="6">
        <f>IF($B21="","",ROUND(订单数据!C21+订单数据!D21,2))</f>
        <v/>
      </c>
      <c r="D21" s="6">
        <f>IF($B21="","",ROUND(SUMIFS(资金账单!$G$2:$G$101,资金账单!$B$2:$B$101,$B21)+SUMIFS(资金账单!$D$2:$D$101,资金账单!$B$2:$B$101,$B21)+SUMIFS(资金账单!$E$2:$E$101,资金账单!$B$2:$B$101,$B21)+SUMIFS(资金账单!$F$2:$F$101,资金账单!$B$2:$B$101,$B21),2))</f>
        <v/>
      </c>
      <c r="E21">
        <f>IF($B21="","",COUNTIF(资金账单!$B$2:$B$101,$B21))</f>
        <v/>
      </c>
      <c r="F21" s="6">
        <f>IF($B21="","",ROUND($C21-$D21,2))</f>
        <v/>
      </c>
      <c r="G21" s="6">
        <f>IF($B21="","",ROUND(订单数据!E21-SUMIFS(资金账单!$F$2:$F$101,资金账单!$B$2:$B$101,$B21),2))</f>
        <v/>
      </c>
      <c r="H21">
        <f>IF($B21="","",IF($E21=0,"⚠未结算",IF($E21&gt;1,"❌重复结算",IF(AND(ABS($G21)&gt;0.01,ABS($F21)&lt;=0.01),"❌退款未同步",IF(OR(ABS($F21)&gt;0.01,ABS($G21)&gt;0.01),"❌金额差异","✓")))))</f>
        <v/>
      </c>
    </row>
    <row r="22">
      <c r="A22">
        <f>IF(订单数据!B22="","",订单数据!A22)</f>
        <v/>
      </c>
      <c r="B22">
        <f>IF(订单数据!B22="","",订单数据!B22)</f>
        <v/>
      </c>
      <c r="C22" s="6">
        <f>IF($B22="","",ROUND(订单数据!C22+订单数据!D22,2))</f>
        <v/>
      </c>
      <c r="D22" s="6">
        <f>IF($B22="","",ROUND(SUMIFS(资金账单!$G$2:$G$101,资金账单!$B$2:$B$101,$B22)+SUMIFS(资金账单!$D$2:$D$101,资金账单!$B$2:$B$101,$B22)+SUMIFS(资金账单!$E$2:$E$101,资金账单!$B$2:$B$101,$B22)+SUMIFS(资金账单!$F$2:$F$101,资金账单!$B$2:$B$101,$B22),2))</f>
        <v/>
      </c>
      <c r="E22">
        <f>IF($B22="","",COUNTIF(资金账单!$B$2:$B$101,$B22))</f>
        <v/>
      </c>
      <c r="F22" s="6">
        <f>IF($B22="","",ROUND($C22-$D22,2))</f>
        <v/>
      </c>
      <c r="G22" s="6">
        <f>IF($B22="","",ROUND(订单数据!E22-SUMIFS(资金账单!$F$2:$F$101,资金账单!$B$2:$B$101,$B22),2))</f>
        <v/>
      </c>
      <c r="H22">
        <f>IF($B22="","",IF($E22=0,"⚠未结算",IF($E22&gt;1,"❌重复结算",IF(AND(ABS($G22)&gt;0.01,ABS($F22)&lt;=0.01),"❌退款未同步",IF(OR(ABS($F22)&gt;0.01,ABS($G22)&gt;0.01),"❌金额差异","✓")))))</f>
        <v/>
      </c>
    </row>
    <row r="23">
      <c r="A23">
        <f>IF(订单数据!B23="","",订单数据!A23)</f>
        <v/>
      </c>
      <c r="B23">
        <f>IF(订单数据!B23="","",订单数据!B23)</f>
        <v/>
      </c>
      <c r="C23" s="6">
        <f>IF($B23="","",ROUND(订单数据!C23+订单数据!D23,2))</f>
        <v/>
      </c>
      <c r="D23" s="6">
        <f>IF($B23="","",ROUND(SUMIFS(资金账单!$G$2:$G$101,资金账单!$B$2:$B$101,$B23)+SUMIFS(资金账单!$D$2:$D$101,资金账单!$B$2:$B$101,$B23)+SUMIFS(资金账单!$E$2:$E$101,资金账单!$B$2:$B$101,$B23)+SUMIFS(资金账单!$F$2:$F$101,资金账单!$B$2:$B$101,$B23),2))</f>
        <v/>
      </c>
      <c r="E23">
        <f>IF($B23="","",COUNTIF(资金账单!$B$2:$B$101,$B23))</f>
        <v/>
      </c>
      <c r="F23" s="6">
        <f>IF($B23="","",ROUND($C23-$D23,2))</f>
        <v/>
      </c>
      <c r="G23" s="6">
        <f>IF($B23="","",ROUND(订单数据!E23-SUMIFS(资金账单!$F$2:$F$101,资金账单!$B$2:$B$101,$B23),2))</f>
        <v/>
      </c>
      <c r="H23">
        <f>IF($B23="","",IF($E23=0,"⚠未结算",IF($E23&gt;1,"❌重复结算",IF(AND(ABS($G23)&gt;0.01,ABS($F23)&lt;=0.01),"❌退款未同步",IF(OR(ABS($F23)&gt;0.01,ABS($G23)&gt;0.01),"❌金额差异","✓")))))</f>
        <v/>
      </c>
    </row>
    <row r="24">
      <c r="A24">
        <f>IF(订单数据!B24="","",订单数据!A24)</f>
        <v/>
      </c>
      <c r="B24">
        <f>IF(订单数据!B24="","",订单数据!B24)</f>
        <v/>
      </c>
      <c r="C24" s="6">
        <f>IF($B24="","",ROUND(订单数据!C24+订单数据!D24,2))</f>
        <v/>
      </c>
      <c r="D24" s="6">
        <f>IF($B24="","",ROUND(SUMIFS(资金账单!$G$2:$G$101,资金账单!$B$2:$B$101,$B24)+SUMIFS(资金账单!$D$2:$D$101,资金账单!$B$2:$B$101,$B24)+SUMIFS(资金账单!$E$2:$E$101,资金账单!$B$2:$B$101,$B24)+SUMIFS(资金账单!$F$2:$F$101,资金账单!$B$2:$B$101,$B24),2))</f>
        <v/>
      </c>
      <c r="E24">
        <f>IF($B24="","",COUNTIF(资金账单!$B$2:$B$101,$B24))</f>
        <v/>
      </c>
      <c r="F24" s="6">
        <f>IF($B24="","",ROUND($C24-$D24,2))</f>
        <v/>
      </c>
      <c r="G24" s="6">
        <f>IF($B24="","",ROUND(订单数据!E24-SUMIFS(资金账单!$F$2:$F$101,资金账单!$B$2:$B$101,$B24),2))</f>
        <v/>
      </c>
      <c r="H24">
        <f>IF($B24="","",IF($E24=0,"⚠未结算",IF($E24&gt;1,"❌重复结算",IF(AND(ABS($G24)&gt;0.01,ABS($F24)&lt;=0.01),"❌退款未同步",IF(OR(ABS($F24)&gt;0.01,ABS($G24)&gt;0.01),"❌金额差异","✓")))))</f>
        <v/>
      </c>
    </row>
    <row r="25">
      <c r="A25">
        <f>IF(订单数据!B25="","",订单数据!A25)</f>
        <v/>
      </c>
      <c r="B25">
        <f>IF(订单数据!B25="","",订单数据!B25)</f>
        <v/>
      </c>
      <c r="C25" s="6">
        <f>IF($B25="","",ROUND(订单数据!C25+订单数据!D25,2))</f>
        <v/>
      </c>
      <c r="D25" s="6">
        <f>IF($B25="","",ROUND(SUMIFS(资金账单!$G$2:$G$101,资金账单!$B$2:$B$101,$B25)+SUMIFS(资金账单!$D$2:$D$101,资金账单!$B$2:$B$101,$B25)+SUMIFS(资金账单!$E$2:$E$101,资金账单!$B$2:$B$101,$B25)+SUMIFS(资金账单!$F$2:$F$101,资金账单!$B$2:$B$101,$B25),2))</f>
        <v/>
      </c>
      <c r="E25">
        <f>IF($B25="","",COUNTIF(资金账单!$B$2:$B$101,$B25))</f>
        <v/>
      </c>
      <c r="F25" s="6">
        <f>IF($B25="","",ROUND($C25-$D25,2))</f>
        <v/>
      </c>
      <c r="G25" s="6">
        <f>IF($B25="","",ROUND(订单数据!E25-SUMIFS(资金账单!$F$2:$F$101,资金账单!$B$2:$B$101,$B25),2))</f>
        <v/>
      </c>
      <c r="H25">
        <f>IF($B25="","",IF($E25=0,"⚠未结算",IF($E25&gt;1,"❌重复结算",IF(AND(ABS($G25)&gt;0.01,ABS($F25)&lt;=0.01),"❌退款未同步",IF(OR(ABS($F25)&gt;0.01,ABS($G25)&gt;0.01),"❌金额差异","✓")))))</f>
        <v/>
      </c>
    </row>
    <row r="26">
      <c r="A26">
        <f>IF(订单数据!B26="","",订单数据!A26)</f>
        <v/>
      </c>
      <c r="B26">
        <f>IF(订单数据!B26="","",订单数据!B26)</f>
        <v/>
      </c>
      <c r="C26" s="6">
        <f>IF($B26="","",ROUND(订单数据!C26+订单数据!D26,2))</f>
        <v/>
      </c>
      <c r="D26" s="6">
        <f>IF($B26="","",ROUND(SUMIFS(资金账单!$G$2:$G$101,资金账单!$B$2:$B$101,$B26)+SUMIFS(资金账单!$D$2:$D$101,资金账单!$B$2:$B$101,$B26)+SUMIFS(资金账单!$E$2:$E$101,资金账单!$B$2:$B$101,$B26)+SUMIFS(资金账单!$F$2:$F$101,资金账单!$B$2:$B$101,$B26),2))</f>
        <v/>
      </c>
      <c r="E26">
        <f>IF($B26="","",COUNTIF(资金账单!$B$2:$B$101,$B26))</f>
        <v/>
      </c>
      <c r="F26" s="6">
        <f>IF($B26="","",ROUND($C26-$D26,2))</f>
        <v/>
      </c>
      <c r="G26" s="6">
        <f>IF($B26="","",ROUND(订单数据!E26-SUMIFS(资金账单!$F$2:$F$101,资金账单!$B$2:$B$101,$B26),2))</f>
        <v/>
      </c>
      <c r="H26">
        <f>IF($B26="","",IF($E26=0,"⚠未结算",IF($E26&gt;1,"❌重复结算",IF(AND(ABS($G26)&gt;0.01,ABS($F26)&lt;=0.01),"❌退款未同步",IF(OR(ABS($F26)&gt;0.01,ABS($G26)&gt;0.01),"❌金额差异","✓")))))</f>
        <v/>
      </c>
    </row>
    <row r="27">
      <c r="A27">
        <f>IF(订单数据!B27="","",订单数据!A27)</f>
        <v/>
      </c>
      <c r="B27">
        <f>IF(订单数据!B27="","",订单数据!B27)</f>
        <v/>
      </c>
      <c r="C27" s="6">
        <f>IF($B27="","",ROUND(订单数据!C27+订单数据!D27,2))</f>
        <v/>
      </c>
      <c r="D27" s="6">
        <f>IF($B27="","",ROUND(SUMIFS(资金账单!$G$2:$G$101,资金账单!$B$2:$B$101,$B27)+SUMIFS(资金账单!$D$2:$D$101,资金账单!$B$2:$B$101,$B27)+SUMIFS(资金账单!$E$2:$E$101,资金账单!$B$2:$B$101,$B27)+SUMIFS(资金账单!$F$2:$F$101,资金账单!$B$2:$B$101,$B27),2))</f>
        <v/>
      </c>
      <c r="E27">
        <f>IF($B27="","",COUNTIF(资金账单!$B$2:$B$101,$B27))</f>
        <v/>
      </c>
      <c r="F27" s="6">
        <f>IF($B27="","",ROUND($C27-$D27,2))</f>
        <v/>
      </c>
      <c r="G27" s="6">
        <f>IF($B27="","",ROUND(订单数据!E27-SUMIFS(资金账单!$F$2:$F$101,资金账单!$B$2:$B$101,$B27),2))</f>
        <v/>
      </c>
      <c r="H27">
        <f>IF($B27="","",IF($E27=0,"⚠未结算",IF($E27&gt;1,"❌重复结算",IF(AND(ABS($G27)&gt;0.01,ABS($F27)&lt;=0.01),"❌退款未同步",IF(OR(ABS($F27)&gt;0.01,ABS($G27)&gt;0.01),"❌金额差异","✓")))))</f>
        <v/>
      </c>
    </row>
    <row r="28">
      <c r="A28">
        <f>IF(订单数据!B28="","",订单数据!A28)</f>
        <v/>
      </c>
      <c r="B28">
        <f>IF(订单数据!B28="","",订单数据!B28)</f>
        <v/>
      </c>
      <c r="C28" s="6">
        <f>IF($B28="","",ROUND(订单数据!C28+订单数据!D28,2))</f>
        <v/>
      </c>
      <c r="D28" s="6">
        <f>IF($B28="","",ROUND(SUMIFS(资金账单!$G$2:$G$101,资金账单!$B$2:$B$101,$B28)+SUMIFS(资金账单!$D$2:$D$101,资金账单!$B$2:$B$101,$B28)+SUMIFS(资金账单!$E$2:$E$101,资金账单!$B$2:$B$101,$B28)+SUMIFS(资金账单!$F$2:$F$101,资金账单!$B$2:$B$101,$B28),2))</f>
        <v/>
      </c>
      <c r="E28">
        <f>IF($B28="","",COUNTIF(资金账单!$B$2:$B$101,$B28))</f>
        <v/>
      </c>
      <c r="F28" s="6">
        <f>IF($B28="","",ROUND($C28-$D28,2))</f>
        <v/>
      </c>
      <c r="G28" s="6">
        <f>IF($B28="","",ROUND(订单数据!E28-SUMIFS(资金账单!$F$2:$F$101,资金账单!$B$2:$B$101,$B28),2))</f>
        <v/>
      </c>
      <c r="H28">
        <f>IF($B28="","",IF($E28=0,"⚠未结算",IF($E28&gt;1,"❌重复结算",IF(AND(ABS($G28)&gt;0.01,ABS($F28)&lt;=0.01),"❌退款未同步",IF(OR(ABS($F28)&gt;0.01,ABS($G28)&gt;0.01),"❌金额差异","✓")))))</f>
        <v/>
      </c>
    </row>
    <row r="29">
      <c r="A29">
        <f>IF(订单数据!B29="","",订单数据!A29)</f>
        <v/>
      </c>
      <c r="B29">
        <f>IF(订单数据!B29="","",订单数据!B29)</f>
        <v/>
      </c>
      <c r="C29" s="6">
        <f>IF($B29="","",ROUND(订单数据!C29+订单数据!D29,2))</f>
        <v/>
      </c>
      <c r="D29" s="6">
        <f>IF($B29="","",ROUND(SUMIFS(资金账单!$G$2:$G$101,资金账单!$B$2:$B$101,$B29)+SUMIFS(资金账单!$D$2:$D$101,资金账单!$B$2:$B$101,$B29)+SUMIFS(资金账单!$E$2:$E$101,资金账单!$B$2:$B$101,$B29)+SUMIFS(资金账单!$F$2:$F$101,资金账单!$B$2:$B$101,$B29),2))</f>
        <v/>
      </c>
      <c r="E29">
        <f>IF($B29="","",COUNTIF(资金账单!$B$2:$B$101,$B29))</f>
        <v/>
      </c>
      <c r="F29" s="6">
        <f>IF($B29="","",ROUND($C29-$D29,2))</f>
        <v/>
      </c>
      <c r="G29" s="6">
        <f>IF($B29="","",ROUND(订单数据!E29-SUMIFS(资金账单!$F$2:$F$101,资金账单!$B$2:$B$101,$B29),2))</f>
        <v/>
      </c>
      <c r="H29">
        <f>IF($B29="","",IF($E29=0,"⚠未结算",IF($E29&gt;1,"❌重复结算",IF(AND(ABS($G29)&gt;0.01,ABS($F29)&lt;=0.01),"❌退款未同步",IF(OR(ABS($F29)&gt;0.01,ABS($G29)&gt;0.01),"❌金额差异","✓")))))</f>
        <v/>
      </c>
    </row>
    <row r="30">
      <c r="A30">
        <f>IF(订单数据!B30="","",订单数据!A30)</f>
        <v/>
      </c>
      <c r="B30">
        <f>IF(订单数据!B30="","",订单数据!B30)</f>
        <v/>
      </c>
      <c r="C30" s="6">
        <f>IF($B30="","",ROUND(订单数据!C30+订单数据!D30,2))</f>
        <v/>
      </c>
      <c r="D30" s="6">
        <f>IF($B30="","",ROUND(SUMIFS(资金账单!$G$2:$G$101,资金账单!$B$2:$B$101,$B30)+SUMIFS(资金账单!$D$2:$D$101,资金账单!$B$2:$B$101,$B30)+SUMIFS(资金账单!$E$2:$E$101,资金账单!$B$2:$B$101,$B30)+SUMIFS(资金账单!$F$2:$F$101,资金账单!$B$2:$B$101,$B30),2))</f>
        <v/>
      </c>
      <c r="E30">
        <f>IF($B30="","",COUNTIF(资金账单!$B$2:$B$101,$B30))</f>
        <v/>
      </c>
      <c r="F30" s="6">
        <f>IF($B30="","",ROUND($C30-$D30,2))</f>
        <v/>
      </c>
      <c r="G30" s="6">
        <f>IF($B30="","",ROUND(订单数据!E30-SUMIFS(资金账单!$F$2:$F$101,资金账单!$B$2:$B$101,$B30),2))</f>
        <v/>
      </c>
      <c r="H30">
        <f>IF($B30="","",IF($E30=0,"⚠未结算",IF($E30&gt;1,"❌重复结算",IF(AND(ABS($G30)&gt;0.01,ABS($F30)&lt;=0.01),"❌退款未同步",IF(OR(ABS($F30)&gt;0.01,ABS($G30)&gt;0.01),"❌金额差异","✓")))))</f>
        <v/>
      </c>
    </row>
    <row r="31">
      <c r="A31">
        <f>IF(订单数据!B31="","",订单数据!A31)</f>
        <v/>
      </c>
      <c r="B31">
        <f>IF(订单数据!B31="","",订单数据!B31)</f>
        <v/>
      </c>
      <c r="C31" s="6">
        <f>IF($B31="","",ROUND(订单数据!C31+订单数据!D31,2))</f>
        <v/>
      </c>
      <c r="D31" s="6">
        <f>IF($B31="","",ROUND(SUMIFS(资金账单!$G$2:$G$101,资金账单!$B$2:$B$101,$B31)+SUMIFS(资金账单!$D$2:$D$101,资金账单!$B$2:$B$101,$B31)+SUMIFS(资金账单!$E$2:$E$101,资金账单!$B$2:$B$101,$B31)+SUMIFS(资金账单!$F$2:$F$101,资金账单!$B$2:$B$101,$B31),2))</f>
        <v/>
      </c>
      <c r="E31">
        <f>IF($B31="","",COUNTIF(资金账单!$B$2:$B$101,$B31))</f>
        <v/>
      </c>
      <c r="F31" s="6">
        <f>IF($B31="","",ROUND($C31-$D31,2))</f>
        <v/>
      </c>
      <c r="G31" s="6">
        <f>IF($B31="","",ROUND(订单数据!E31-SUMIFS(资金账单!$F$2:$F$101,资金账单!$B$2:$B$101,$B31),2))</f>
        <v/>
      </c>
      <c r="H31">
        <f>IF($B31="","",IF($E31=0,"⚠未结算",IF($E31&gt;1,"❌重复结算",IF(AND(ABS($G31)&gt;0.01,ABS($F31)&lt;=0.01),"❌退款未同步",IF(OR(ABS($F31)&gt;0.01,ABS($G31)&gt;0.01),"❌金额差异","✓")))))</f>
        <v/>
      </c>
    </row>
    <row r="32">
      <c r="A32">
        <f>IF(订单数据!B32="","",订单数据!A32)</f>
        <v/>
      </c>
      <c r="B32">
        <f>IF(订单数据!B32="","",订单数据!B32)</f>
        <v/>
      </c>
      <c r="C32" s="6">
        <f>IF($B32="","",ROUND(订单数据!C32+订单数据!D32,2))</f>
        <v/>
      </c>
      <c r="D32" s="6">
        <f>IF($B32="","",ROUND(SUMIFS(资金账单!$G$2:$G$101,资金账单!$B$2:$B$101,$B32)+SUMIFS(资金账单!$D$2:$D$101,资金账单!$B$2:$B$101,$B32)+SUMIFS(资金账单!$E$2:$E$101,资金账单!$B$2:$B$101,$B32)+SUMIFS(资金账单!$F$2:$F$101,资金账单!$B$2:$B$101,$B32),2))</f>
        <v/>
      </c>
      <c r="E32">
        <f>IF($B32="","",COUNTIF(资金账单!$B$2:$B$101,$B32))</f>
        <v/>
      </c>
      <c r="F32" s="6">
        <f>IF($B32="","",ROUND($C32-$D32,2))</f>
        <v/>
      </c>
      <c r="G32" s="6">
        <f>IF($B32="","",ROUND(订单数据!E32-SUMIFS(资金账单!$F$2:$F$101,资金账单!$B$2:$B$101,$B32),2))</f>
        <v/>
      </c>
      <c r="H32">
        <f>IF($B32="","",IF($E32=0,"⚠未结算",IF($E32&gt;1,"❌重复结算",IF(AND(ABS($G32)&gt;0.01,ABS($F32)&lt;=0.01),"❌退款未同步",IF(OR(ABS($F32)&gt;0.01,ABS($G32)&gt;0.01),"❌金额差异","✓")))))</f>
        <v/>
      </c>
    </row>
    <row r="33">
      <c r="A33">
        <f>IF(订单数据!B33="","",订单数据!A33)</f>
        <v/>
      </c>
      <c r="B33">
        <f>IF(订单数据!B33="","",订单数据!B33)</f>
        <v/>
      </c>
      <c r="C33" s="6">
        <f>IF($B33="","",ROUND(订单数据!C33+订单数据!D33,2))</f>
        <v/>
      </c>
      <c r="D33" s="6">
        <f>IF($B33="","",ROUND(SUMIFS(资金账单!$G$2:$G$101,资金账单!$B$2:$B$101,$B33)+SUMIFS(资金账单!$D$2:$D$101,资金账单!$B$2:$B$101,$B33)+SUMIFS(资金账单!$E$2:$E$101,资金账单!$B$2:$B$101,$B33)+SUMIFS(资金账单!$F$2:$F$101,资金账单!$B$2:$B$101,$B33),2))</f>
        <v/>
      </c>
      <c r="E33">
        <f>IF($B33="","",COUNTIF(资金账单!$B$2:$B$101,$B33))</f>
        <v/>
      </c>
      <c r="F33" s="6">
        <f>IF($B33="","",ROUND($C33-$D33,2))</f>
        <v/>
      </c>
      <c r="G33" s="6">
        <f>IF($B33="","",ROUND(订单数据!E33-SUMIFS(资金账单!$F$2:$F$101,资金账单!$B$2:$B$101,$B33),2))</f>
        <v/>
      </c>
      <c r="H33">
        <f>IF($B33="","",IF($E33=0,"⚠未结算",IF($E33&gt;1,"❌重复结算",IF(AND(ABS($G33)&gt;0.01,ABS($F33)&lt;=0.01),"❌退款未同步",IF(OR(ABS($F33)&gt;0.01,ABS($G33)&gt;0.01),"❌金额差异","✓")))))</f>
        <v/>
      </c>
    </row>
    <row r="34">
      <c r="A34">
        <f>IF(订单数据!B34="","",订单数据!A34)</f>
        <v/>
      </c>
      <c r="B34">
        <f>IF(订单数据!B34="","",订单数据!B34)</f>
        <v/>
      </c>
      <c r="C34" s="6">
        <f>IF($B34="","",ROUND(订单数据!C34+订单数据!D34,2))</f>
        <v/>
      </c>
      <c r="D34" s="6">
        <f>IF($B34="","",ROUND(SUMIFS(资金账单!$G$2:$G$101,资金账单!$B$2:$B$101,$B34)+SUMIFS(资金账单!$D$2:$D$101,资金账单!$B$2:$B$101,$B34)+SUMIFS(资金账单!$E$2:$E$101,资金账单!$B$2:$B$101,$B34)+SUMIFS(资金账单!$F$2:$F$101,资金账单!$B$2:$B$101,$B34),2))</f>
        <v/>
      </c>
      <c r="E34">
        <f>IF($B34="","",COUNTIF(资金账单!$B$2:$B$101,$B34))</f>
        <v/>
      </c>
      <c r="F34" s="6">
        <f>IF($B34="","",ROUND($C34-$D34,2))</f>
        <v/>
      </c>
      <c r="G34" s="6">
        <f>IF($B34="","",ROUND(订单数据!E34-SUMIFS(资金账单!$F$2:$F$101,资金账单!$B$2:$B$101,$B34),2))</f>
        <v/>
      </c>
      <c r="H34">
        <f>IF($B34="","",IF($E34=0,"⚠未结算",IF($E34&gt;1,"❌重复结算",IF(AND(ABS($G34)&gt;0.01,ABS($F34)&lt;=0.01),"❌退款未同步",IF(OR(ABS($F34)&gt;0.01,ABS($G34)&gt;0.01),"❌金额差异","✓")))))</f>
        <v/>
      </c>
    </row>
    <row r="35">
      <c r="A35">
        <f>IF(订单数据!B35="","",订单数据!A35)</f>
        <v/>
      </c>
      <c r="B35">
        <f>IF(订单数据!B35="","",订单数据!B35)</f>
        <v/>
      </c>
      <c r="C35" s="6">
        <f>IF($B35="","",ROUND(订单数据!C35+订单数据!D35,2))</f>
        <v/>
      </c>
      <c r="D35" s="6">
        <f>IF($B35="","",ROUND(SUMIFS(资金账单!$G$2:$G$101,资金账单!$B$2:$B$101,$B35)+SUMIFS(资金账单!$D$2:$D$101,资金账单!$B$2:$B$101,$B35)+SUMIFS(资金账单!$E$2:$E$101,资金账单!$B$2:$B$101,$B35)+SUMIFS(资金账单!$F$2:$F$101,资金账单!$B$2:$B$101,$B35),2))</f>
        <v/>
      </c>
      <c r="E35">
        <f>IF($B35="","",COUNTIF(资金账单!$B$2:$B$101,$B35))</f>
        <v/>
      </c>
      <c r="F35" s="6">
        <f>IF($B35="","",ROUND($C35-$D35,2))</f>
        <v/>
      </c>
      <c r="G35" s="6">
        <f>IF($B35="","",ROUND(订单数据!E35-SUMIFS(资金账单!$F$2:$F$101,资金账单!$B$2:$B$101,$B35),2))</f>
        <v/>
      </c>
      <c r="H35">
        <f>IF($B35="","",IF($E35=0,"⚠未结算",IF($E35&gt;1,"❌重复结算",IF(AND(ABS($G35)&gt;0.01,ABS($F35)&lt;=0.01),"❌退款未同步",IF(OR(ABS($F35)&gt;0.01,ABS($G35)&gt;0.01),"❌金额差异","✓")))))</f>
        <v/>
      </c>
    </row>
    <row r="36">
      <c r="A36">
        <f>IF(订单数据!B36="","",订单数据!A36)</f>
        <v/>
      </c>
      <c r="B36">
        <f>IF(订单数据!B36="","",订单数据!B36)</f>
        <v/>
      </c>
      <c r="C36" s="6">
        <f>IF($B36="","",ROUND(订单数据!C36+订单数据!D36,2))</f>
        <v/>
      </c>
      <c r="D36" s="6">
        <f>IF($B36="","",ROUND(SUMIFS(资金账单!$G$2:$G$101,资金账单!$B$2:$B$101,$B36)+SUMIFS(资金账单!$D$2:$D$101,资金账单!$B$2:$B$101,$B36)+SUMIFS(资金账单!$E$2:$E$101,资金账单!$B$2:$B$101,$B36)+SUMIFS(资金账单!$F$2:$F$101,资金账单!$B$2:$B$101,$B36),2))</f>
        <v/>
      </c>
      <c r="E36">
        <f>IF($B36="","",COUNTIF(资金账单!$B$2:$B$101,$B36))</f>
        <v/>
      </c>
      <c r="F36" s="6">
        <f>IF($B36="","",ROUND($C36-$D36,2))</f>
        <v/>
      </c>
      <c r="G36" s="6">
        <f>IF($B36="","",ROUND(订单数据!E36-SUMIFS(资金账单!$F$2:$F$101,资金账单!$B$2:$B$101,$B36),2))</f>
        <v/>
      </c>
      <c r="H36">
        <f>IF($B36="","",IF($E36=0,"⚠未结算",IF($E36&gt;1,"❌重复结算",IF(AND(ABS($G36)&gt;0.01,ABS($F36)&lt;=0.01),"❌退款未同步",IF(OR(ABS($F36)&gt;0.01,ABS($G36)&gt;0.01),"❌金额差异","✓")))))</f>
        <v/>
      </c>
    </row>
    <row r="37">
      <c r="A37">
        <f>IF(订单数据!B37="","",订单数据!A37)</f>
        <v/>
      </c>
      <c r="B37">
        <f>IF(订单数据!B37="","",订单数据!B37)</f>
        <v/>
      </c>
      <c r="C37" s="6">
        <f>IF($B37="","",ROUND(订单数据!C37+订单数据!D37,2))</f>
        <v/>
      </c>
      <c r="D37" s="6">
        <f>IF($B37="","",ROUND(SUMIFS(资金账单!$G$2:$G$101,资金账单!$B$2:$B$101,$B37)+SUMIFS(资金账单!$D$2:$D$101,资金账单!$B$2:$B$101,$B37)+SUMIFS(资金账单!$E$2:$E$101,资金账单!$B$2:$B$101,$B37)+SUMIFS(资金账单!$F$2:$F$101,资金账单!$B$2:$B$101,$B37),2))</f>
        <v/>
      </c>
      <c r="E37">
        <f>IF($B37="","",COUNTIF(资金账单!$B$2:$B$101,$B37))</f>
        <v/>
      </c>
      <c r="F37" s="6">
        <f>IF($B37="","",ROUND($C37-$D37,2))</f>
        <v/>
      </c>
      <c r="G37" s="6">
        <f>IF($B37="","",ROUND(订单数据!E37-SUMIFS(资金账单!$F$2:$F$101,资金账单!$B$2:$B$101,$B37),2))</f>
        <v/>
      </c>
      <c r="H37">
        <f>IF($B37="","",IF($E37=0,"⚠未结算",IF($E37&gt;1,"❌重复结算",IF(AND(ABS($G37)&gt;0.01,ABS($F37)&lt;=0.01),"❌退款未同步",IF(OR(ABS($F37)&gt;0.01,ABS($G37)&gt;0.01),"❌金额差异","✓")))))</f>
        <v/>
      </c>
    </row>
    <row r="38">
      <c r="A38">
        <f>IF(订单数据!B38="","",订单数据!A38)</f>
        <v/>
      </c>
      <c r="B38">
        <f>IF(订单数据!B38="","",订单数据!B38)</f>
        <v/>
      </c>
      <c r="C38" s="6">
        <f>IF($B38="","",ROUND(订单数据!C38+订单数据!D38,2))</f>
        <v/>
      </c>
      <c r="D38" s="6">
        <f>IF($B38="","",ROUND(SUMIFS(资金账单!$G$2:$G$101,资金账单!$B$2:$B$101,$B38)+SUMIFS(资金账单!$D$2:$D$101,资金账单!$B$2:$B$101,$B38)+SUMIFS(资金账单!$E$2:$E$101,资金账单!$B$2:$B$101,$B38)+SUMIFS(资金账单!$F$2:$F$101,资金账单!$B$2:$B$101,$B38),2))</f>
        <v/>
      </c>
      <c r="E38">
        <f>IF($B38="","",COUNTIF(资金账单!$B$2:$B$101,$B38))</f>
        <v/>
      </c>
      <c r="F38" s="6">
        <f>IF($B38="","",ROUND($C38-$D38,2))</f>
        <v/>
      </c>
      <c r="G38" s="6">
        <f>IF($B38="","",ROUND(订单数据!E38-SUMIFS(资金账单!$F$2:$F$101,资金账单!$B$2:$B$101,$B38),2))</f>
        <v/>
      </c>
      <c r="H38">
        <f>IF($B38="","",IF($E38=0,"⚠未结算",IF($E38&gt;1,"❌重复结算",IF(AND(ABS($G38)&gt;0.01,ABS($F38)&lt;=0.01),"❌退款未同步",IF(OR(ABS($F38)&gt;0.01,ABS($G38)&gt;0.01),"❌金额差异","✓")))))</f>
        <v/>
      </c>
    </row>
    <row r="39">
      <c r="A39">
        <f>IF(订单数据!B39="","",订单数据!A39)</f>
        <v/>
      </c>
      <c r="B39">
        <f>IF(订单数据!B39="","",订单数据!B39)</f>
        <v/>
      </c>
      <c r="C39" s="6">
        <f>IF($B39="","",ROUND(订单数据!C39+订单数据!D39,2))</f>
        <v/>
      </c>
      <c r="D39" s="6">
        <f>IF($B39="","",ROUND(SUMIFS(资金账单!$G$2:$G$101,资金账单!$B$2:$B$101,$B39)+SUMIFS(资金账单!$D$2:$D$101,资金账单!$B$2:$B$101,$B39)+SUMIFS(资金账单!$E$2:$E$101,资金账单!$B$2:$B$101,$B39)+SUMIFS(资金账单!$F$2:$F$101,资金账单!$B$2:$B$101,$B39),2))</f>
        <v/>
      </c>
      <c r="E39">
        <f>IF($B39="","",COUNTIF(资金账单!$B$2:$B$101,$B39))</f>
        <v/>
      </c>
      <c r="F39" s="6">
        <f>IF($B39="","",ROUND($C39-$D39,2))</f>
        <v/>
      </c>
      <c r="G39" s="6">
        <f>IF($B39="","",ROUND(订单数据!E39-SUMIFS(资金账单!$F$2:$F$101,资金账单!$B$2:$B$101,$B39),2))</f>
        <v/>
      </c>
      <c r="H39">
        <f>IF($B39="","",IF($E39=0,"⚠未结算",IF($E39&gt;1,"❌重复结算",IF(AND(ABS($G39)&gt;0.01,ABS($F39)&lt;=0.01),"❌退款未同步",IF(OR(ABS($F39)&gt;0.01,ABS($G39)&gt;0.01),"❌金额差异","✓")))))</f>
        <v/>
      </c>
    </row>
    <row r="40">
      <c r="A40">
        <f>IF(订单数据!B40="","",订单数据!A40)</f>
        <v/>
      </c>
      <c r="B40">
        <f>IF(订单数据!B40="","",订单数据!B40)</f>
        <v/>
      </c>
      <c r="C40" s="6">
        <f>IF($B40="","",ROUND(订单数据!C40+订单数据!D40,2))</f>
        <v/>
      </c>
      <c r="D40" s="6">
        <f>IF($B40="","",ROUND(SUMIFS(资金账单!$G$2:$G$101,资金账单!$B$2:$B$101,$B40)+SUMIFS(资金账单!$D$2:$D$101,资金账单!$B$2:$B$101,$B40)+SUMIFS(资金账单!$E$2:$E$101,资金账单!$B$2:$B$101,$B40)+SUMIFS(资金账单!$F$2:$F$101,资金账单!$B$2:$B$101,$B40),2))</f>
        <v/>
      </c>
      <c r="E40">
        <f>IF($B40="","",COUNTIF(资金账单!$B$2:$B$101,$B40))</f>
        <v/>
      </c>
      <c r="F40" s="6">
        <f>IF($B40="","",ROUND($C40-$D40,2))</f>
        <v/>
      </c>
      <c r="G40" s="6">
        <f>IF($B40="","",ROUND(订单数据!E40-SUMIFS(资金账单!$F$2:$F$101,资金账单!$B$2:$B$101,$B40),2))</f>
        <v/>
      </c>
      <c r="H40">
        <f>IF($B40="","",IF($E40=0,"⚠未结算",IF($E40&gt;1,"❌重复结算",IF(AND(ABS($G40)&gt;0.01,ABS($F40)&lt;=0.01),"❌退款未同步",IF(OR(ABS($F40)&gt;0.01,ABS($G40)&gt;0.01),"❌金额差异","✓")))))</f>
        <v/>
      </c>
    </row>
    <row r="41">
      <c r="A41">
        <f>IF(订单数据!B41="","",订单数据!A41)</f>
        <v/>
      </c>
      <c r="B41">
        <f>IF(订单数据!B41="","",订单数据!B41)</f>
        <v/>
      </c>
      <c r="C41" s="6">
        <f>IF($B41="","",ROUND(订单数据!C41+订单数据!D41,2))</f>
        <v/>
      </c>
      <c r="D41" s="6">
        <f>IF($B41="","",ROUND(SUMIFS(资金账单!$G$2:$G$101,资金账单!$B$2:$B$101,$B41)+SUMIFS(资金账单!$D$2:$D$101,资金账单!$B$2:$B$101,$B41)+SUMIFS(资金账单!$E$2:$E$101,资金账单!$B$2:$B$101,$B41)+SUMIFS(资金账单!$F$2:$F$101,资金账单!$B$2:$B$101,$B41),2))</f>
        <v/>
      </c>
      <c r="E41">
        <f>IF($B41="","",COUNTIF(资金账单!$B$2:$B$101,$B41))</f>
        <v/>
      </c>
      <c r="F41" s="6">
        <f>IF($B41="","",ROUND($C41-$D41,2))</f>
        <v/>
      </c>
      <c r="G41" s="6">
        <f>IF($B41="","",ROUND(订单数据!E41-SUMIFS(资金账单!$F$2:$F$101,资金账单!$B$2:$B$101,$B41),2))</f>
        <v/>
      </c>
      <c r="H41">
        <f>IF($B41="","",IF($E41=0,"⚠未结算",IF($E41&gt;1,"❌重复结算",IF(AND(ABS($G41)&gt;0.01,ABS($F41)&lt;=0.01),"❌退款未同步",IF(OR(ABS($F41)&gt;0.01,ABS($G41)&gt;0.01),"❌金额差异","✓")))))</f>
        <v/>
      </c>
    </row>
    <row r="42">
      <c r="A42">
        <f>IF(订单数据!B42="","",订单数据!A42)</f>
        <v/>
      </c>
      <c r="B42">
        <f>IF(订单数据!B42="","",订单数据!B42)</f>
        <v/>
      </c>
      <c r="C42" s="6">
        <f>IF($B42="","",ROUND(订单数据!C42+订单数据!D42,2))</f>
        <v/>
      </c>
      <c r="D42" s="6">
        <f>IF($B42="","",ROUND(SUMIFS(资金账单!$G$2:$G$101,资金账单!$B$2:$B$101,$B42)+SUMIFS(资金账单!$D$2:$D$101,资金账单!$B$2:$B$101,$B42)+SUMIFS(资金账单!$E$2:$E$101,资金账单!$B$2:$B$101,$B42)+SUMIFS(资金账单!$F$2:$F$101,资金账单!$B$2:$B$101,$B42),2))</f>
        <v/>
      </c>
      <c r="E42">
        <f>IF($B42="","",COUNTIF(资金账单!$B$2:$B$101,$B42))</f>
        <v/>
      </c>
      <c r="F42" s="6">
        <f>IF($B42="","",ROUND($C42-$D42,2))</f>
        <v/>
      </c>
      <c r="G42" s="6">
        <f>IF($B42="","",ROUND(订单数据!E42-SUMIFS(资金账单!$F$2:$F$101,资金账单!$B$2:$B$101,$B42),2))</f>
        <v/>
      </c>
      <c r="H42">
        <f>IF($B42="","",IF($E42=0,"⚠未结算",IF($E42&gt;1,"❌重复结算",IF(AND(ABS($G42)&gt;0.01,ABS($F42)&lt;=0.01),"❌退款未同步",IF(OR(ABS($F42)&gt;0.01,ABS($G42)&gt;0.01),"❌金额差异","✓")))))</f>
        <v/>
      </c>
    </row>
    <row r="43">
      <c r="A43">
        <f>IF(订单数据!B43="","",订单数据!A43)</f>
        <v/>
      </c>
      <c r="B43">
        <f>IF(订单数据!B43="","",订单数据!B43)</f>
        <v/>
      </c>
      <c r="C43" s="6">
        <f>IF($B43="","",ROUND(订单数据!C43+订单数据!D43,2))</f>
        <v/>
      </c>
      <c r="D43" s="6">
        <f>IF($B43="","",ROUND(SUMIFS(资金账单!$G$2:$G$101,资金账单!$B$2:$B$101,$B43)+SUMIFS(资金账单!$D$2:$D$101,资金账单!$B$2:$B$101,$B43)+SUMIFS(资金账单!$E$2:$E$101,资金账单!$B$2:$B$101,$B43)+SUMIFS(资金账单!$F$2:$F$101,资金账单!$B$2:$B$101,$B43),2))</f>
        <v/>
      </c>
      <c r="E43">
        <f>IF($B43="","",COUNTIF(资金账单!$B$2:$B$101,$B43))</f>
        <v/>
      </c>
      <c r="F43" s="6">
        <f>IF($B43="","",ROUND($C43-$D43,2))</f>
        <v/>
      </c>
      <c r="G43" s="6">
        <f>IF($B43="","",ROUND(订单数据!E43-SUMIFS(资金账单!$F$2:$F$101,资金账单!$B$2:$B$101,$B43),2))</f>
        <v/>
      </c>
      <c r="H43">
        <f>IF($B43="","",IF($E43=0,"⚠未结算",IF($E43&gt;1,"❌重复结算",IF(AND(ABS($G43)&gt;0.01,ABS($F43)&lt;=0.01),"❌退款未同步",IF(OR(ABS($F43)&gt;0.01,ABS($G43)&gt;0.01),"❌金额差异","✓")))))</f>
        <v/>
      </c>
    </row>
    <row r="44">
      <c r="A44">
        <f>IF(订单数据!B44="","",订单数据!A44)</f>
        <v/>
      </c>
      <c r="B44">
        <f>IF(订单数据!B44="","",订单数据!B44)</f>
        <v/>
      </c>
      <c r="C44" s="6">
        <f>IF($B44="","",ROUND(订单数据!C44+订单数据!D44,2))</f>
        <v/>
      </c>
      <c r="D44" s="6">
        <f>IF($B44="","",ROUND(SUMIFS(资金账单!$G$2:$G$101,资金账单!$B$2:$B$101,$B44)+SUMIFS(资金账单!$D$2:$D$101,资金账单!$B$2:$B$101,$B44)+SUMIFS(资金账单!$E$2:$E$101,资金账单!$B$2:$B$101,$B44)+SUMIFS(资金账单!$F$2:$F$101,资金账单!$B$2:$B$101,$B44),2))</f>
        <v/>
      </c>
      <c r="E44">
        <f>IF($B44="","",COUNTIF(资金账单!$B$2:$B$101,$B44))</f>
        <v/>
      </c>
      <c r="F44" s="6">
        <f>IF($B44="","",ROUND($C44-$D44,2))</f>
        <v/>
      </c>
      <c r="G44" s="6">
        <f>IF($B44="","",ROUND(订单数据!E44-SUMIFS(资金账单!$F$2:$F$101,资金账单!$B$2:$B$101,$B44),2))</f>
        <v/>
      </c>
      <c r="H44">
        <f>IF($B44="","",IF($E44=0,"⚠未结算",IF($E44&gt;1,"❌重复结算",IF(AND(ABS($G44)&gt;0.01,ABS($F44)&lt;=0.01),"❌退款未同步",IF(OR(ABS($F44)&gt;0.01,ABS($G44)&gt;0.01),"❌金额差异","✓")))))</f>
        <v/>
      </c>
    </row>
    <row r="45">
      <c r="A45">
        <f>IF(订单数据!B45="","",订单数据!A45)</f>
        <v/>
      </c>
      <c r="B45">
        <f>IF(订单数据!B45="","",订单数据!B45)</f>
        <v/>
      </c>
      <c r="C45" s="6">
        <f>IF($B45="","",ROUND(订单数据!C45+订单数据!D45,2))</f>
        <v/>
      </c>
      <c r="D45" s="6">
        <f>IF($B45="","",ROUND(SUMIFS(资金账单!$G$2:$G$101,资金账单!$B$2:$B$101,$B45)+SUMIFS(资金账单!$D$2:$D$101,资金账单!$B$2:$B$101,$B45)+SUMIFS(资金账单!$E$2:$E$101,资金账单!$B$2:$B$101,$B45)+SUMIFS(资金账单!$F$2:$F$101,资金账单!$B$2:$B$101,$B45),2))</f>
        <v/>
      </c>
      <c r="E45">
        <f>IF($B45="","",COUNTIF(资金账单!$B$2:$B$101,$B45))</f>
        <v/>
      </c>
      <c r="F45" s="6">
        <f>IF($B45="","",ROUND($C45-$D45,2))</f>
        <v/>
      </c>
      <c r="G45" s="6">
        <f>IF($B45="","",ROUND(订单数据!E45-SUMIFS(资金账单!$F$2:$F$101,资金账单!$B$2:$B$101,$B45),2))</f>
        <v/>
      </c>
      <c r="H45">
        <f>IF($B45="","",IF($E45=0,"⚠未结算",IF($E45&gt;1,"❌重复结算",IF(AND(ABS($G45)&gt;0.01,ABS($F45)&lt;=0.01),"❌退款未同步",IF(OR(ABS($F45)&gt;0.01,ABS($G45)&gt;0.01),"❌金额差异","✓")))))</f>
        <v/>
      </c>
    </row>
    <row r="46">
      <c r="A46">
        <f>IF(订单数据!B46="","",订单数据!A46)</f>
        <v/>
      </c>
      <c r="B46">
        <f>IF(订单数据!B46="","",订单数据!B46)</f>
        <v/>
      </c>
      <c r="C46" s="6">
        <f>IF($B46="","",ROUND(订单数据!C46+订单数据!D46,2))</f>
        <v/>
      </c>
      <c r="D46" s="6">
        <f>IF($B46="","",ROUND(SUMIFS(资金账单!$G$2:$G$101,资金账单!$B$2:$B$101,$B46)+SUMIFS(资金账单!$D$2:$D$101,资金账单!$B$2:$B$101,$B46)+SUMIFS(资金账单!$E$2:$E$101,资金账单!$B$2:$B$101,$B46)+SUMIFS(资金账单!$F$2:$F$101,资金账单!$B$2:$B$101,$B46),2))</f>
        <v/>
      </c>
      <c r="E46">
        <f>IF($B46="","",COUNTIF(资金账单!$B$2:$B$101,$B46))</f>
        <v/>
      </c>
      <c r="F46" s="6">
        <f>IF($B46="","",ROUND($C46-$D46,2))</f>
        <v/>
      </c>
      <c r="G46" s="6">
        <f>IF($B46="","",ROUND(订单数据!E46-SUMIFS(资金账单!$F$2:$F$101,资金账单!$B$2:$B$101,$B46),2))</f>
        <v/>
      </c>
      <c r="H46">
        <f>IF($B46="","",IF($E46=0,"⚠未结算",IF($E46&gt;1,"❌重复结算",IF(AND(ABS($G46)&gt;0.01,ABS($F46)&lt;=0.01),"❌退款未同步",IF(OR(ABS($F46)&gt;0.01,ABS($G46)&gt;0.01),"❌金额差异","✓")))))</f>
        <v/>
      </c>
    </row>
    <row r="47">
      <c r="A47">
        <f>IF(订单数据!B47="","",订单数据!A47)</f>
        <v/>
      </c>
      <c r="B47">
        <f>IF(订单数据!B47="","",订单数据!B47)</f>
        <v/>
      </c>
      <c r="C47" s="6">
        <f>IF($B47="","",ROUND(订单数据!C47+订单数据!D47,2))</f>
        <v/>
      </c>
      <c r="D47" s="6">
        <f>IF($B47="","",ROUND(SUMIFS(资金账单!$G$2:$G$101,资金账单!$B$2:$B$101,$B47)+SUMIFS(资金账单!$D$2:$D$101,资金账单!$B$2:$B$101,$B47)+SUMIFS(资金账单!$E$2:$E$101,资金账单!$B$2:$B$101,$B47)+SUMIFS(资金账单!$F$2:$F$101,资金账单!$B$2:$B$101,$B47),2))</f>
        <v/>
      </c>
      <c r="E47">
        <f>IF($B47="","",COUNTIF(资金账单!$B$2:$B$101,$B47))</f>
        <v/>
      </c>
      <c r="F47" s="6">
        <f>IF($B47="","",ROUND($C47-$D47,2))</f>
        <v/>
      </c>
      <c r="G47" s="6">
        <f>IF($B47="","",ROUND(订单数据!E47-SUMIFS(资金账单!$F$2:$F$101,资金账单!$B$2:$B$101,$B47),2))</f>
        <v/>
      </c>
      <c r="H47">
        <f>IF($B47="","",IF($E47=0,"⚠未结算",IF($E47&gt;1,"❌重复结算",IF(AND(ABS($G47)&gt;0.01,ABS($F47)&lt;=0.01),"❌退款未同步",IF(OR(ABS($F47)&gt;0.01,ABS($G47)&gt;0.01),"❌金额差异","✓")))))</f>
        <v/>
      </c>
    </row>
    <row r="48">
      <c r="A48">
        <f>IF(订单数据!B48="","",订单数据!A48)</f>
        <v/>
      </c>
      <c r="B48">
        <f>IF(订单数据!B48="","",订单数据!B48)</f>
        <v/>
      </c>
      <c r="C48" s="6">
        <f>IF($B48="","",ROUND(订单数据!C48+订单数据!D48,2))</f>
        <v/>
      </c>
      <c r="D48" s="6">
        <f>IF($B48="","",ROUND(SUMIFS(资金账单!$G$2:$G$101,资金账单!$B$2:$B$101,$B48)+SUMIFS(资金账单!$D$2:$D$101,资金账单!$B$2:$B$101,$B48)+SUMIFS(资金账单!$E$2:$E$101,资金账单!$B$2:$B$101,$B48)+SUMIFS(资金账单!$F$2:$F$101,资金账单!$B$2:$B$101,$B48),2))</f>
        <v/>
      </c>
      <c r="E48">
        <f>IF($B48="","",COUNTIF(资金账单!$B$2:$B$101,$B48))</f>
        <v/>
      </c>
      <c r="F48" s="6">
        <f>IF($B48="","",ROUND($C48-$D48,2))</f>
        <v/>
      </c>
      <c r="G48" s="6">
        <f>IF($B48="","",ROUND(订单数据!E48-SUMIFS(资金账单!$F$2:$F$101,资金账单!$B$2:$B$101,$B48),2))</f>
        <v/>
      </c>
      <c r="H48">
        <f>IF($B48="","",IF($E48=0,"⚠未结算",IF($E48&gt;1,"❌重复结算",IF(AND(ABS($G48)&gt;0.01,ABS($F48)&lt;=0.01),"❌退款未同步",IF(OR(ABS($F48)&gt;0.01,ABS($G48)&gt;0.01),"❌金额差异","✓")))))</f>
        <v/>
      </c>
    </row>
    <row r="49">
      <c r="A49">
        <f>IF(订单数据!B49="","",订单数据!A49)</f>
        <v/>
      </c>
      <c r="B49">
        <f>IF(订单数据!B49="","",订单数据!B49)</f>
        <v/>
      </c>
      <c r="C49" s="6">
        <f>IF($B49="","",ROUND(订单数据!C49+订单数据!D49,2))</f>
        <v/>
      </c>
      <c r="D49" s="6">
        <f>IF($B49="","",ROUND(SUMIFS(资金账单!$G$2:$G$101,资金账单!$B$2:$B$101,$B49)+SUMIFS(资金账单!$D$2:$D$101,资金账单!$B$2:$B$101,$B49)+SUMIFS(资金账单!$E$2:$E$101,资金账单!$B$2:$B$101,$B49)+SUMIFS(资金账单!$F$2:$F$101,资金账单!$B$2:$B$101,$B49),2))</f>
        <v/>
      </c>
      <c r="E49">
        <f>IF($B49="","",COUNTIF(资金账单!$B$2:$B$101,$B49))</f>
        <v/>
      </c>
      <c r="F49" s="6">
        <f>IF($B49="","",ROUND($C49-$D49,2))</f>
        <v/>
      </c>
      <c r="G49" s="6">
        <f>IF($B49="","",ROUND(订单数据!E49-SUMIFS(资金账单!$F$2:$F$101,资金账单!$B$2:$B$101,$B49),2))</f>
        <v/>
      </c>
      <c r="H49">
        <f>IF($B49="","",IF($E49=0,"⚠未结算",IF($E49&gt;1,"❌重复结算",IF(AND(ABS($G49)&gt;0.01,ABS($F49)&lt;=0.01),"❌退款未同步",IF(OR(ABS($F49)&gt;0.01,ABS($G49)&gt;0.01),"❌金额差异","✓")))))</f>
        <v/>
      </c>
    </row>
    <row r="50">
      <c r="A50">
        <f>IF(订单数据!B50="","",订单数据!A50)</f>
        <v/>
      </c>
      <c r="B50">
        <f>IF(订单数据!B50="","",订单数据!B50)</f>
        <v/>
      </c>
      <c r="C50" s="6">
        <f>IF($B50="","",ROUND(订单数据!C50+订单数据!D50,2))</f>
        <v/>
      </c>
      <c r="D50" s="6">
        <f>IF($B50="","",ROUND(SUMIFS(资金账单!$G$2:$G$101,资金账单!$B$2:$B$101,$B50)+SUMIFS(资金账单!$D$2:$D$101,资金账单!$B$2:$B$101,$B50)+SUMIFS(资金账单!$E$2:$E$101,资金账单!$B$2:$B$101,$B50)+SUMIFS(资金账单!$F$2:$F$101,资金账单!$B$2:$B$101,$B50),2))</f>
        <v/>
      </c>
      <c r="E50">
        <f>IF($B50="","",COUNTIF(资金账单!$B$2:$B$101,$B50))</f>
        <v/>
      </c>
      <c r="F50" s="6">
        <f>IF($B50="","",ROUND($C50-$D50,2))</f>
        <v/>
      </c>
      <c r="G50" s="6">
        <f>IF($B50="","",ROUND(订单数据!E50-SUMIFS(资金账单!$F$2:$F$101,资金账单!$B$2:$B$101,$B50),2))</f>
        <v/>
      </c>
      <c r="H50">
        <f>IF($B50="","",IF($E50=0,"⚠未结算",IF($E50&gt;1,"❌重复结算",IF(AND(ABS($G50)&gt;0.01,ABS($F50)&lt;=0.01),"❌退款未同步",IF(OR(ABS($F50)&gt;0.01,ABS($G50)&gt;0.01),"❌金额差异","✓")))))</f>
        <v/>
      </c>
    </row>
    <row r="51">
      <c r="A51">
        <f>IF(订单数据!B51="","",订单数据!A51)</f>
        <v/>
      </c>
      <c r="B51">
        <f>IF(订单数据!B51="","",订单数据!B51)</f>
        <v/>
      </c>
      <c r="C51" s="6">
        <f>IF($B51="","",ROUND(订单数据!C51+订单数据!D51,2))</f>
        <v/>
      </c>
      <c r="D51" s="6">
        <f>IF($B51="","",ROUND(SUMIFS(资金账单!$G$2:$G$101,资金账单!$B$2:$B$101,$B51)+SUMIFS(资金账单!$D$2:$D$101,资金账单!$B$2:$B$101,$B51)+SUMIFS(资金账单!$E$2:$E$101,资金账单!$B$2:$B$101,$B51)+SUMIFS(资金账单!$F$2:$F$101,资金账单!$B$2:$B$101,$B51),2))</f>
        <v/>
      </c>
      <c r="E51">
        <f>IF($B51="","",COUNTIF(资金账单!$B$2:$B$101,$B51))</f>
        <v/>
      </c>
      <c r="F51" s="6">
        <f>IF($B51="","",ROUND($C51-$D51,2))</f>
        <v/>
      </c>
      <c r="G51" s="6">
        <f>IF($B51="","",ROUND(订单数据!E51-SUMIFS(资金账单!$F$2:$F$101,资金账单!$B$2:$B$101,$B51),2))</f>
        <v/>
      </c>
      <c r="H51">
        <f>IF($B51="","",IF($E51=0,"⚠未结算",IF($E51&gt;1,"❌重复结算",IF(AND(ABS($G51)&gt;0.01,ABS($F51)&lt;=0.01),"❌退款未同步",IF(OR(ABS($F51)&gt;0.01,ABS($G51)&gt;0.01),"❌金额差异","✓")))))</f>
        <v/>
      </c>
    </row>
    <row r="52">
      <c r="A52">
        <f>IF(订单数据!B52="","",订单数据!A52)</f>
        <v/>
      </c>
      <c r="B52">
        <f>IF(订单数据!B52="","",订单数据!B52)</f>
        <v/>
      </c>
      <c r="C52" s="6">
        <f>IF($B52="","",ROUND(订单数据!C52+订单数据!D52,2))</f>
        <v/>
      </c>
      <c r="D52" s="6">
        <f>IF($B52="","",ROUND(SUMIFS(资金账单!$G$2:$G$101,资金账单!$B$2:$B$101,$B52)+SUMIFS(资金账单!$D$2:$D$101,资金账单!$B$2:$B$101,$B52)+SUMIFS(资金账单!$E$2:$E$101,资金账单!$B$2:$B$101,$B52)+SUMIFS(资金账单!$F$2:$F$101,资金账单!$B$2:$B$101,$B52),2))</f>
        <v/>
      </c>
      <c r="E52">
        <f>IF($B52="","",COUNTIF(资金账单!$B$2:$B$101,$B52))</f>
        <v/>
      </c>
      <c r="F52" s="6">
        <f>IF($B52="","",ROUND($C52-$D52,2))</f>
        <v/>
      </c>
      <c r="G52" s="6">
        <f>IF($B52="","",ROUND(订单数据!E52-SUMIFS(资金账单!$F$2:$F$101,资金账单!$B$2:$B$101,$B52),2))</f>
        <v/>
      </c>
      <c r="H52">
        <f>IF($B52="","",IF($E52=0,"⚠未结算",IF($E52&gt;1,"❌重复结算",IF(AND(ABS($G52)&gt;0.01,ABS($F52)&lt;=0.01),"❌退款未同步",IF(OR(ABS($F52)&gt;0.01,ABS($G52)&gt;0.01),"❌金额差异","✓")))))</f>
        <v/>
      </c>
    </row>
    <row r="53">
      <c r="A53">
        <f>IF(订单数据!B53="","",订单数据!A53)</f>
        <v/>
      </c>
      <c r="B53">
        <f>IF(订单数据!B53="","",订单数据!B53)</f>
        <v/>
      </c>
      <c r="C53" s="6">
        <f>IF($B53="","",ROUND(订单数据!C53+订单数据!D53,2))</f>
        <v/>
      </c>
      <c r="D53" s="6">
        <f>IF($B53="","",ROUND(SUMIFS(资金账单!$G$2:$G$101,资金账单!$B$2:$B$101,$B53)+SUMIFS(资金账单!$D$2:$D$101,资金账单!$B$2:$B$101,$B53)+SUMIFS(资金账单!$E$2:$E$101,资金账单!$B$2:$B$101,$B53)+SUMIFS(资金账单!$F$2:$F$101,资金账单!$B$2:$B$101,$B53),2))</f>
        <v/>
      </c>
      <c r="E53">
        <f>IF($B53="","",COUNTIF(资金账单!$B$2:$B$101,$B53))</f>
        <v/>
      </c>
      <c r="F53" s="6">
        <f>IF($B53="","",ROUND($C53-$D53,2))</f>
        <v/>
      </c>
      <c r="G53" s="6">
        <f>IF($B53="","",ROUND(订单数据!E53-SUMIFS(资金账单!$F$2:$F$101,资金账单!$B$2:$B$101,$B53),2))</f>
        <v/>
      </c>
      <c r="H53">
        <f>IF($B53="","",IF($E53=0,"⚠未结算",IF($E53&gt;1,"❌重复结算",IF(AND(ABS($G53)&gt;0.01,ABS($F53)&lt;=0.01),"❌退款未同步",IF(OR(ABS($F53)&gt;0.01,ABS($G53)&gt;0.01),"❌金额差异","✓")))))</f>
        <v/>
      </c>
    </row>
    <row r="54">
      <c r="A54">
        <f>IF(订单数据!B54="","",订单数据!A54)</f>
        <v/>
      </c>
      <c r="B54">
        <f>IF(订单数据!B54="","",订单数据!B54)</f>
        <v/>
      </c>
      <c r="C54" s="6">
        <f>IF($B54="","",ROUND(订单数据!C54+订单数据!D54,2))</f>
        <v/>
      </c>
      <c r="D54" s="6">
        <f>IF($B54="","",ROUND(SUMIFS(资金账单!$G$2:$G$101,资金账单!$B$2:$B$101,$B54)+SUMIFS(资金账单!$D$2:$D$101,资金账单!$B$2:$B$101,$B54)+SUMIFS(资金账单!$E$2:$E$101,资金账单!$B$2:$B$101,$B54)+SUMIFS(资金账单!$F$2:$F$101,资金账单!$B$2:$B$101,$B54),2))</f>
        <v/>
      </c>
      <c r="E54">
        <f>IF($B54="","",COUNTIF(资金账单!$B$2:$B$101,$B54))</f>
        <v/>
      </c>
      <c r="F54" s="6">
        <f>IF($B54="","",ROUND($C54-$D54,2))</f>
        <v/>
      </c>
      <c r="G54" s="6">
        <f>IF($B54="","",ROUND(订单数据!E54-SUMIFS(资金账单!$F$2:$F$101,资金账单!$B$2:$B$101,$B54),2))</f>
        <v/>
      </c>
      <c r="H54">
        <f>IF($B54="","",IF($E54=0,"⚠未结算",IF($E54&gt;1,"❌重复结算",IF(AND(ABS($G54)&gt;0.01,ABS($F54)&lt;=0.01),"❌退款未同步",IF(OR(ABS($F54)&gt;0.01,ABS($G54)&gt;0.01),"❌金额差异","✓")))))</f>
        <v/>
      </c>
    </row>
    <row r="55">
      <c r="A55">
        <f>IF(订单数据!B55="","",订单数据!A55)</f>
        <v/>
      </c>
      <c r="B55">
        <f>IF(订单数据!B55="","",订单数据!B55)</f>
        <v/>
      </c>
      <c r="C55" s="6">
        <f>IF($B55="","",ROUND(订单数据!C55+订单数据!D55,2))</f>
        <v/>
      </c>
      <c r="D55" s="6">
        <f>IF($B55="","",ROUND(SUMIFS(资金账单!$G$2:$G$101,资金账单!$B$2:$B$101,$B55)+SUMIFS(资金账单!$D$2:$D$101,资金账单!$B$2:$B$101,$B55)+SUMIFS(资金账单!$E$2:$E$101,资金账单!$B$2:$B$101,$B55)+SUMIFS(资金账单!$F$2:$F$101,资金账单!$B$2:$B$101,$B55),2))</f>
        <v/>
      </c>
      <c r="E55">
        <f>IF($B55="","",COUNTIF(资金账单!$B$2:$B$101,$B55))</f>
        <v/>
      </c>
      <c r="F55" s="6">
        <f>IF($B55="","",ROUND($C55-$D55,2))</f>
        <v/>
      </c>
      <c r="G55" s="6">
        <f>IF($B55="","",ROUND(订单数据!E55-SUMIFS(资金账单!$F$2:$F$101,资金账单!$B$2:$B$101,$B55),2))</f>
        <v/>
      </c>
      <c r="H55">
        <f>IF($B55="","",IF($E55=0,"⚠未结算",IF($E55&gt;1,"❌重复结算",IF(AND(ABS($G55)&gt;0.01,ABS($F55)&lt;=0.01),"❌退款未同步",IF(OR(ABS($F55)&gt;0.01,ABS($G55)&gt;0.01),"❌金额差异","✓")))))</f>
        <v/>
      </c>
    </row>
    <row r="56">
      <c r="A56">
        <f>IF(订单数据!B56="","",订单数据!A56)</f>
        <v/>
      </c>
      <c r="B56">
        <f>IF(订单数据!B56="","",订单数据!B56)</f>
        <v/>
      </c>
      <c r="C56" s="6">
        <f>IF($B56="","",ROUND(订单数据!C56+订单数据!D56,2))</f>
        <v/>
      </c>
      <c r="D56" s="6">
        <f>IF($B56="","",ROUND(SUMIFS(资金账单!$G$2:$G$101,资金账单!$B$2:$B$101,$B56)+SUMIFS(资金账单!$D$2:$D$101,资金账单!$B$2:$B$101,$B56)+SUMIFS(资金账单!$E$2:$E$101,资金账单!$B$2:$B$101,$B56)+SUMIFS(资金账单!$F$2:$F$101,资金账单!$B$2:$B$101,$B56),2))</f>
        <v/>
      </c>
      <c r="E56">
        <f>IF($B56="","",COUNTIF(资金账单!$B$2:$B$101,$B56))</f>
        <v/>
      </c>
      <c r="F56" s="6">
        <f>IF($B56="","",ROUND($C56-$D56,2))</f>
        <v/>
      </c>
      <c r="G56" s="6">
        <f>IF($B56="","",ROUND(订单数据!E56-SUMIFS(资金账单!$F$2:$F$101,资金账单!$B$2:$B$101,$B56),2))</f>
        <v/>
      </c>
      <c r="H56">
        <f>IF($B56="","",IF($E56=0,"⚠未结算",IF($E56&gt;1,"❌重复结算",IF(AND(ABS($G56)&gt;0.01,ABS($F56)&lt;=0.01),"❌退款未同步",IF(OR(ABS($F56)&gt;0.01,ABS($G56)&gt;0.01),"❌金额差异","✓")))))</f>
        <v/>
      </c>
    </row>
    <row r="57">
      <c r="A57">
        <f>IF(订单数据!B57="","",订单数据!A57)</f>
        <v/>
      </c>
      <c r="B57">
        <f>IF(订单数据!B57="","",订单数据!B57)</f>
        <v/>
      </c>
      <c r="C57" s="6">
        <f>IF($B57="","",ROUND(订单数据!C57+订单数据!D57,2))</f>
        <v/>
      </c>
      <c r="D57" s="6">
        <f>IF($B57="","",ROUND(SUMIFS(资金账单!$G$2:$G$101,资金账单!$B$2:$B$101,$B57)+SUMIFS(资金账单!$D$2:$D$101,资金账单!$B$2:$B$101,$B57)+SUMIFS(资金账单!$E$2:$E$101,资金账单!$B$2:$B$101,$B57)+SUMIFS(资金账单!$F$2:$F$101,资金账单!$B$2:$B$101,$B57),2))</f>
        <v/>
      </c>
      <c r="E57">
        <f>IF($B57="","",COUNTIF(资金账单!$B$2:$B$101,$B57))</f>
        <v/>
      </c>
      <c r="F57" s="6">
        <f>IF($B57="","",ROUND($C57-$D57,2))</f>
        <v/>
      </c>
      <c r="G57" s="6">
        <f>IF($B57="","",ROUND(订单数据!E57-SUMIFS(资金账单!$F$2:$F$101,资金账单!$B$2:$B$101,$B57),2))</f>
        <v/>
      </c>
      <c r="H57">
        <f>IF($B57="","",IF($E57=0,"⚠未结算",IF($E57&gt;1,"❌重复结算",IF(AND(ABS($G57)&gt;0.01,ABS($F57)&lt;=0.01),"❌退款未同步",IF(OR(ABS($F57)&gt;0.01,ABS($G57)&gt;0.01),"❌金额差异","✓")))))</f>
        <v/>
      </c>
    </row>
    <row r="58">
      <c r="A58">
        <f>IF(订单数据!B58="","",订单数据!A58)</f>
        <v/>
      </c>
      <c r="B58">
        <f>IF(订单数据!B58="","",订单数据!B58)</f>
        <v/>
      </c>
      <c r="C58" s="6">
        <f>IF($B58="","",ROUND(订单数据!C58+订单数据!D58,2))</f>
        <v/>
      </c>
      <c r="D58" s="6">
        <f>IF($B58="","",ROUND(SUMIFS(资金账单!$G$2:$G$101,资金账单!$B$2:$B$101,$B58)+SUMIFS(资金账单!$D$2:$D$101,资金账单!$B$2:$B$101,$B58)+SUMIFS(资金账单!$E$2:$E$101,资金账单!$B$2:$B$101,$B58)+SUMIFS(资金账单!$F$2:$F$101,资金账单!$B$2:$B$101,$B58),2))</f>
        <v/>
      </c>
      <c r="E58">
        <f>IF($B58="","",COUNTIF(资金账单!$B$2:$B$101,$B58))</f>
        <v/>
      </c>
      <c r="F58" s="6">
        <f>IF($B58="","",ROUND($C58-$D58,2))</f>
        <v/>
      </c>
      <c r="G58" s="6">
        <f>IF($B58="","",ROUND(订单数据!E58-SUMIFS(资金账单!$F$2:$F$101,资金账单!$B$2:$B$101,$B58),2))</f>
        <v/>
      </c>
      <c r="H58">
        <f>IF($B58="","",IF($E58=0,"⚠未结算",IF($E58&gt;1,"❌重复结算",IF(AND(ABS($G58)&gt;0.01,ABS($F58)&lt;=0.01),"❌退款未同步",IF(OR(ABS($F58)&gt;0.01,ABS($G58)&gt;0.01),"❌金额差异","✓")))))</f>
        <v/>
      </c>
    </row>
    <row r="59">
      <c r="A59">
        <f>IF(订单数据!B59="","",订单数据!A59)</f>
        <v/>
      </c>
      <c r="B59">
        <f>IF(订单数据!B59="","",订单数据!B59)</f>
        <v/>
      </c>
      <c r="C59" s="6">
        <f>IF($B59="","",ROUND(订单数据!C59+订单数据!D59,2))</f>
        <v/>
      </c>
      <c r="D59" s="6">
        <f>IF($B59="","",ROUND(SUMIFS(资金账单!$G$2:$G$101,资金账单!$B$2:$B$101,$B59)+SUMIFS(资金账单!$D$2:$D$101,资金账单!$B$2:$B$101,$B59)+SUMIFS(资金账单!$E$2:$E$101,资金账单!$B$2:$B$101,$B59)+SUMIFS(资金账单!$F$2:$F$101,资金账单!$B$2:$B$101,$B59),2))</f>
        <v/>
      </c>
      <c r="E59">
        <f>IF($B59="","",COUNTIF(资金账单!$B$2:$B$101,$B59))</f>
        <v/>
      </c>
      <c r="F59" s="6">
        <f>IF($B59="","",ROUND($C59-$D59,2))</f>
        <v/>
      </c>
      <c r="G59" s="6">
        <f>IF($B59="","",ROUND(订单数据!E59-SUMIFS(资金账单!$F$2:$F$101,资金账单!$B$2:$B$101,$B59),2))</f>
        <v/>
      </c>
      <c r="H59">
        <f>IF($B59="","",IF($E59=0,"⚠未结算",IF($E59&gt;1,"❌重复结算",IF(AND(ABS($G59)&gt;0.01,ABS($F59)&lt;=0.01),"❌退款未同步",IF(OR(ABS($F59)&gt;0.01,ABS($G59)&gt;0.01),"❌金额差异","✓")))))</f>
        <v/>
      </c>
    </row>
    <row r="60">
      <c r="A60">
        <f>IF(订单数据!B60="","",订单数据!A60)</f>
        <v/>
      </c>
      <c r="B60">
        <f>IF(订单数据!B60="","",订单数据!B60)</f>
        <v/>
      </c>
      <c r="C60" s="6">
        <f>IF($B60="","",ROUND(订单数据!C60+订单数据!D60,2))</f>
        <v/>
      </c>
      <c r="D60" s="6">
        <f>IF($B60="","",ROUND(SUMIFS(资金账单!$G$2:$G$101,资金账单!$B$2:$B$101,$B60)+SUMIFS(资金账单!$D$2:$D$101,资金账单!$B$2:$B$101,$B60)+SUMIFS(资金账单!$E$2:$E$101,资金账单!$B$2:$B$101,$B60)+SUMIFS(资金账单!$F$2:$F$101,资金账单!$B$2:$B$101,$B60),2))</f>
        <v/>
      </c>
      <c r="E60">
        <f>IF($B60="","",COUNTIF(资金账单!$B$2:$B$101,$B60))</f>
        <v/>
      </c>
      <c r="F60" s="6">
        <f>IF($B60="","",ROUND($C60-$D60,2))</f>
        <v/>
      </c>
      <c r="G60" s="6">
        <f>IF($B60="","",ROUND(订单数据!E60-SUMIFS(资金账单!$F$2:$F$101,资金账单!$B$2:$B$101,$B60),2))</f>
        <v/>
      </c>
      <c r="H60">
        <f>IF($B60="","",IF($E60=0,"⚠未结算",IF($E60&gt;1,"❌重复结算",IF(AND(ABS($G60)&gt;0.01,ABS($F60)&lt;=0.01),"❌退款未同步",IF(OR(ABS($F60)&gt;0.01,ABS($G60)&gt;0.01),"❌金额差异","✓")))))</f>
        <v/>
      </c>
    </row>
    <row r="61">
      <c r="A61">
        <f>IF(订单数据!B61="","",订单数据!A61)</f>
        <v/>
      </c>
      <c r="B61">
        <f>IF(订单数据!B61="","",订单数据!B61)</f>
        <v/>
      </c>
      <c r="C61" s="6">
        <f>IF($B61="","",ROUND(订单数据!C61+订单数据!D61,2))</f>
        <v/>
      </c>
      <c r="D61" s="6">
        <f>IF($B61="","",ROUND(SUMIFS(资金账单!$G$2:$G$101,资金账单!$B$2:$B$101,$B61)+SUMIFS(资金账单!$D$2:$D$101,资金账单!$B$2:$B$101,$B61)+SUMIFS(资金账单!$E$2:$E$101,资金账单!$B$2:$B$101,$B61)+SUMIFS(资金账单!$F$2:$F$101,资金账单!$B$2:$B$101,$B61),2))</f>
        <v/>
      </c>
      <c r="E61">
        <f>IF($B61="","",COUNTIF(资金账单!$B$2:$B$101,$B61))</f>
        <v/>
      </c>
      <c r="F61" s="6">
        <f>IF($B61="","",ROUND($C61-$D61,2))</f>
        <v/>
      </c>
      <c r="G61" s="6">
        <f>IF($B61="","",ROUND(订单数据!E61-SUMIFS(资金账单!$F$2:$F$101,资金账单!$B$2:$B$101,$B61),2))</f>
        <v/>
      </c>
      <c r="H61">
        <f>IF($B61="","",IF($E61=0,"⚠未结算",IF($E61&gt;1,"❌重复结算",IF(AND(ABS($G61)&gt;0.01,ABS($F61)&lt;=0.01),"❌退款未同步",IF(OR(ABS($F61)&gt;0.01,ABS($G61)&gt;0.01),"❌金额差异","✓")))))</f>
        <v/>
      </c>
    </row>
    <row r="62">
      <c r="A62">
        <f>IF(订单数据!B62="","",订单数据!A62)</f>
        <v/>
      </c>
      <c r="B62">
        <f>IF(订单数据!B62="","",订单数据!B62)</f>
        <v/>
      </c>
      <c r="C62" s="6">
        <f>IF($B62="","",ROUND(订单数据!C62+订单数据!D62,2))</f>
        <v/>
      </c>
      <c r="D62" s="6">
        <f>IF($B62="","",ROUND(SUMIFS(资金账单!$G$2:$G$101,资金账单!$B$2:$B$101,$B62)+SUMIFS(资金账单!$D$2:$D$101,资金账单!$B$2:$B$101,$B62)+SUMIFS(资金账单!$E$2:$E$101,资金账单!$B$2:$B$101,$B62)+SUMIFS(资金账单!$F$2:$F$101,资金账单!$B$2:$B$101,$B62),2))</f>
        <v/>
      </c>
      <c r="E62">
        <f>IF($B62="","",COUNTIF(资金账单!$B$2:$B$101,$B62))</f>
        <v/>
      </c>
      <c r="F62" s="6">
        <f>IF($B62="","",ROUND($C62-$D62,2))</f>
        <v/>
      </c>
      <c r="G62" s="6">
        <f>IF($B62="","",ROUND(订单数据!E62-SUMIFS(资金账单!$F$2:$F$101,资金账单!$B$2:$B$101,$B62),2))</f>
        <v/>
      </c>
      <c r="H62">
        <f>IF($B62="","",IF($E62=0,"⚠未结算",IF($E62&gt;1,"❌重复结算",IF(AND(ABS($G62)&gt;0.01,ABS($F62)&lt;=0.01),"❌退款未同步",IF(OR(ABS($F62)&gt;0.01,ABS($G62)&gt;0.01),"❌金额差异","✓")))))</f>
        <v/>
      </c>
    </row>
    <row r="63">
      <c r="A63">
        <f>IF(订单数据!B63="","",订单数据!A63)</f>
        <v/>
      </c>
      <c r="B63">
        <f>IF(订单数据!B63="","",订单数据!B63)</f>
        <v/>
      </c>
      <c r="C63" s="6">
        <f>IF($B63="","",ROUND(订单数据!C63+订单数据!D63,2))</f>
        <v/>
      </c>
      <c r="D63" s="6">
        <f>IF($B63="","",ROUND(SUMIFS(资金账单!$G$2:$G$101,资金账单!$B$2:$B$101,$B63)+SUMIFS(资金账单!$D$2:$D$101,资金账单!$B$2:$B$101,$B63)+SUMIFS(资金账单!$E$2:$E$101,资金账单!$B$2:$B$101,$B63)+SUMIFS(资金账单!$F$2:$F$101,资金账单!$B$2:$B$101,$B63),2))</f>
        <v/>
      </c>
      <c r="E63">
        <f>IF($B63="","",COUNTIF(资金账单!$B$2:$B$101,$B63))</f>
        <v/>
      </c>
      <c r="F63" s="6">
        <f>IF($B63="","",ROUND($C63-$D63,2))</f>
        <v/>
      </c>
      <c r="G63" s="6">
        <f>IF($B63="","",ROUND(订单数据!E63-SUMIFS(资金账单!$F$2:$F$101,资金账单!$B$2:$B$101,$B63),2))</f>
        <v/>
      </c>
      <c r="H63">
        <f>IF($B63="","",IF($E63=0,"⚠未结算",IF($E63&gt;1,"❌重复结算",IF(AND(ABS($G63)&gt;0.01,ABS($F63)&lt;=0.01),"❌退款未同步",IF(OR(ABS($F63)&gt;0.01,ABS($G63)&gt;0.01),"❌金额差异","✓")))))</f>
        <v/>
      </c>
    </row>
    <row r="64">
      <c r="A64">
        <f>IF(订单数据!B64="","",订单数据!A64)</f>
        <v/>
      </c>
      <c r="B64">
        <f>IF(订单数据!B64="","",订单数据!B64)</f>
        <v/>
      </c>
      <c r="C64" s="6">
        <f>IF($B64="","",ROUND(订单数据!C64+订单数据!D64,2))</f>
        <v/>
      </c>
      <c r="D64" s="6">
        <f>IF($B64="","",ROUND(SUMIFS(资金账单!$G$2:$G$101,资金账单!$B$2:$B$101,$B64)+SUMIFS(资金账单!$D$2:$D$101,资金账单!$B$2:$B$101,$B64)+SUMIFS(资金账单!$E$2:$E$101,资金账单!$B$2:$B$101,$B64)+SUMIFS(资金账单!$F$2:$F$101,资金账单!$B$2:$B$101,$B64),2))</f>
        <v/>
      </c>
      <c r="E64">
        <f>IF($B64="","",COUNTIF(资金账单!$B$2:$B$101,$B64))</f>
        <v/>
      </c>
      <c r="F64" s="6">
        <f>IF($B64="","",ROUND($C64-$D64,2))</f>
        <v/>
      </c>
      <c r="G64" s="6">
        <f>IF($B64="","",ROUND(订单数据!E64-SUMIFS(资金账单!$F$2:$F$101,资金账单!$B$2:$B$101,$B64),2))</f>
        <v/>
      </c>
      <c r="H64">
        <f>IF($B64="","",IF($E64=0,"⚠未结算",IF($E64&gt;1,"❌重复结算",IF(AND(ABS($G64)&gt;0.01,ABS($F64)&lt;=0.01),"❌退款未同步",IF(OR(ABS($F64)&gt;0.01,ABS($G64)&gt;0.01),"❌金额差异","✓")))))</f>
        <v/>
      </c>
    </row>
    <row r="65">
      <c r="A65">
        <f>IF(订单数据!B65="","",订单数据!A65)</f>
        <v/>
      </c>
      <c r="B65">
        <f>IF(订单数据!B65="","",订单数据!B65)</f>
        <v/>
      </c>
      <c r="C65" s="6">
        <f>IF($B65="","",ROUND(订单数据!C65+订单数据!D65,2))</f>
        <v/>
      </c>
      <c r="D65" s="6">
        <f>IF($B65="","",ROUND(SUMIFS(资金账单!$G$2:$G$101,资金账单!$B$2:$B$101,$B65)+SUMIFS(资金账单!$D$2:$D$101,资金账单!$B$2:$B$101,$B65)+SUMIFS(资金账单!$E$2:$E$101,资金账单!$B$2:$B$101,$B65)+SUMIFS(资金账单!$F$2:$F$101,资金账单!$B$2:$B$101,$B65),2))</f>
        <v/>
      </c>
      <c r="E65">
        <f>IF($B65="","",COUNTIF(资金账单!$B$2:$B$101,$B65))</f>
        <v/>
      </c>
      <c r="F65" s="6">
        <f>IF($B65="","",ROUND($C65-$D65,2))</f>
        <v/>
      </c>
      <c r="G65" s="6">
        <f>IF($B65="","",ROUND(订单数据!E65-SUMIFS(资金账单!$F$2:$F$101,资金账单!$B$2:$B$101,$B65),2))</f>
        <v/>
      </c>
      <c r="H65">
        <f>IF($B65="","",IF($E65=0,"⚠未结算",IF($E65&gt;1,"❌重复结算",IF(AND(ABS($G65)&gt;0.01,ABS($F65)&lt;=0.01),"❌退款未同步",IF(OR(ABS($F65)&gt;0.01,ABS($G65)&gt;0.01),"❌金额差异","✓")))))</f>
        <v/>
      </c>
    </row>
    <row r="66">
      <c r="A66">
        <f>IF(订单数据!B66="","",订单数据!A66)</f>
        <v/>
      </c>
      <c r="B66">
        <f>IF(订单数据!B66="","",订单数据!B66)</f>
        <v/>
      </c>
      <c r="C66" s="6">
        <f>IF($B66="","",ROUND(订单数据!C66+订单数据!D66,2))</f>
        <v/>
      </c>
      <c r="D66" s="6">
        <f>IF($B66="","",ROUND(SUMIFS(资金账单!$G$2:$G$101,资金账单!$B$2:$B$101,$B66)+SUMIFS(资金账单!$D$2:$D$101,资金账单!$B$2:$B$101,$B66)+SUMIFS(资金账单!$E$2:$E$101,资金账单!$B$2:$B$101,$B66)+SUMIFS(资金账单!$F$2:$F$101,资金账单!$B$2:$B$101,$B66),2))</f>
        <v/>
      </c>
      <c r="E66">
        <f>IF($B66="","",COUNTIF(资金账单!$B$2:$B$101,$B66))</f>
        <v/>
      </c>
      <c r="F66" s="6">
        <f>IF($B66="","",ROUND($C66-$D66,2))</f>
        <v/>
      </c>
      <c r="G66" s="6">
        <f>IF($B66="","",ROUND(订单数据!E66-SUMIFS(资金账单!$F$2:$F$101,资金账单!$B$2:$B$101,$B66),2))</f>
        <v/>
      </c>
      <c r="H66">
        <f>IF($B66="","",IF($E66=0,"⚠未结算",IF($E66&gt;1,"❌重复结算",IF(AND(ABS($G66)&gt;0.01,ABS($F66)&lt;=0.01),"❌退款未同步",IF(OR(ABS($F66)&gt;0.01,ABS($G66)&gt;0.01),"❌金额差异","✓")))))</f>
        <v/>
      </c>
    </row>
    <row r="67">
      <c r="A67">
        <f>IF(订单数据!B67="","",订单数据!A67)</f>
        <v/>
      </c>
      <c r="B67">
        <f>IF(订单数据!B67="","",订单数据!B67)</f>
        <v/>
      </c>
      <c r="C67" s="6">
        <f>IF($B67="","",ROUND(订单数据!C67+订单数据!D67,2))</f>
        <v/>
      </c>
      <c r="D67" s="6">
        <f>IF($B67="","",ROUND(SUMIFS(资金账单!$G$2:$G$101,资金账单!$B$2:$B$101,$B67)+SUMIFS(资金账单!$D$2:$D$101,资金账单!$B$2:$B$101,$B67)+SUMIFS(资金账单!$E$2:$E$101,资金账单!$B$2:$B$101,$B67)+SUMIFS(资金账单!$F$2:$F$101,资金账单!$B$2:$B$101,$B67),2))</f>
        <v/>
      </c>
      <c r="E67">
        <f>IF($B67="","",COUNTIF(资金账单!$B$2:$B$101,$B67))</f>
        <v/>
      </c>
      <c r="F67" s="6">
        <f>IF($B67="","",ROUND($C67-$D67,2))</f>
        <v/>
      </c>
      <c r="G67" s="6">
        <f>IF($B67="","",ROUND(订单数据!E67-SUMIFS(资金账单!$F$2:$F$101,资金账单!$B$2:$B$101,$B67),2))</f>
        <v/>
      </c>
      <c r="H67">
        <f>IF($B67="","",IF($E67=0,"⚠未结算",IF($E67&gt;1,"❌重复结算",IF(AND(ABS($G67)&gt;0.01,ABS($F67)&lt;=0.01),"❌退款未同步",IF(OR(ABS($F67)&gt;0.01,ABS($G67)&gt;0.01),"❌金额差异","✓")))))</f>
        <v/>
      </c>
    </row>
    <row r="68">
      <c r="A68">
        <f>IF(订单数据!B68="","",订单数据!A68)</f>
        <v/>
      </c>
      <c r="B68">
        <f>IF(订单数据!B68="","",订单数据!B68)</f>
        <v/>
      </c>
      <c r="C68" s="6">
        <f>IF($B68="","",ROUND(订单数据!C68+订单数据!D68,2))</f>
        <v/>
      </c>
      <c r="D68" s="6">
        <f>IF($B68="","",ROUND(SUMIFS(资金账单!$G$2:$G$101,资金账单!$B$2:$B$101,$B68)+SUMIFS(资金账单!$D$2:$D$101,资金账单!$B$2:$B$101,$B68)+SUMIFS(资金账单!$E$2:$E$101,资金账单!$B$2:$B$101,$B68)+SUMIFS(资金账单!$F$2:$F$101,资金账单!$B$2:$B$101,$B68),2))</f>
        <v/>
      </c>
      <c r="E68">
        <f>IF($B68="","",COUNTIF(资金账单!$B$2:$B$101,$B68))</f>
        <v/>
      </c>
      <c r="F68" s="6">
        <f>IF($B68="","",ROUND($C68-$D68,2))</f>
        <v/>
      </c>
      <c r="G68" s="6">
        <f>IF($B68="","",ROUND(订单数据!E68-SUMIFS(资金账单!$F$2:$F$101,资金账单!$B$2:$B$101,$B68),2))</f>
        <v/>
      </c>
      <c r="H68">
        <f>IF($B68="","",IF($E68=0,"⚠未结算",IF($E68&gt;1,"❌重复结算",IF(AND(ABS($G68)&gt;0.01,ABS($F68)&lt;=0.01),"❌退款未同步",IF(OR(ABS($F68)&gt;0.01,ABS($G68)&gt;0.01),"❌金额差异","✓")))))</f>
        <v/>
      </c>
    </row>
    <row r="69">
      <c r="A69">
        <f>IF(订单数据!B69="","",订单数据!A69)</f>
        <v/>
      </c>
      <c r="B69">
        <f>IF(订单数据!B69="","",订单数据!B69)</f>
        <v/>
      </c>
      <c r="C69" s="6">
        <f>IF($B69="","",ROUND(订单数据!C69+订单数据!D69,2))</f>
        <v/>
      </c>
      <c r="D69" s="6">
        <f>IF($B69="","",ROUND(SUMIFS(资金账单!$G$2:$G$101,资金账单!$B$2:$B$101,$B69)+SUMIFS(资金账单!$D$2:$D$101,资金账单!$B$2:$B$101,$B69)+SUMIFS(资金账单!$E$2:$E$101,资金账单!$B$2:$B$101,$B69)+SUMIFS(资金账单!$F$2:$F$101,资金账单!$B$2:$B$101,$B69),2))</f>
        <v/>
      </c>
      <c r="E69">
        <f>IF($B69="","",COUNTIF(资金账单!$B$2:$B$101,$B69))</f>
        <v/>
      </c>
      <c r="F69" s="6">
        <f>IF($B69="","",ROUND($C69-$D69,2))</f>
        <v/>
      </c>
      <c r="G69" s="6">
        <f>IF($B69="","",ROUND(订单数据!E69-SUMIFS(资金账单!$F$2:$F$101,资金账单!$B$2:$B$101,$B69),2))</f>
        <v/>
      </c>
      <c r="H69">
        <f>IF($B69="","",IF($E69=0,"⚠未结算",IF($E69&gt;1,"❌重复结算",IF(AND(ABS($G69)&gt;0.01,ABS($F69)&lt;=0.01),"❌退款未同步",IF(OR(ABS($F69)&gt;0.01,ABS($G69)&gt;0.01),"❌金额差异","✓")))))</f>
        <v/>
      </c>
    </row>
    <row r="70">
      <c r="A70">
        <f>IF(订单数据!B70="","",订单数据!A70)</f>
        <v/>
      </c>
      <c r="B70">
        <f>IF(订单数据!B70="","",订单数据!B70)</f>
        <v/>
      </c>
      <c r="C70" s="6">
        <f>IF($B70="","",ROUND(订单数据!C70+订单数据!D70,2))</f>
        <v/>
      </c>
      <c r="D70" s="6">
        <f>IF($B70="","",ROUND(SUMIFS(资金账单!$G$2:$G$101,资金账单!$B$2:$B$101,$B70)+SUMIFS(资金账单!$D$2:$D$101,资金账单!$B$2:$B$101,$B70)+SUMIFS(资金账单!$E$2:$E$101,资金账单!$B$2:$B$101,$B70)+SUMIFS(资金账单!$F$2:$F$101,资金账单!$B$2:$B$101,$B70),2))</f>
        <v/>
      </c>
      <c r="E70">
        <f>IF($B70="","",COUNTIF(资金账单!$B$2:$B$101,$B70))</f>
        <v/>
      </c>
      <c r="F70" s="6">
        <f>IF($B70="","",ROUND($C70-$D70,2))</f>
        <v/>
      </c>
      <c r="G70" s="6">
        <f>IF($B70="","",ROUND(订单数据!E70-SUMIFS(资金账单!$F$2:$F$101,资金账单!$B$2:$B$101,$B70),2))</f>
        <v/>
      </c>
      <c r="H70">
        <f>IF($B70="","",IF($E70=0,"⚠未结算",IF($E70&gt;1,"❌重复结算",IF(AND(ABS($G70)&gt;0.01,ABS($F70)&lt;=0.01),"❌退款未同步",IF(OR(ABS($F70)&gt;0.01,ABS($G70)&gt;0.01),"❌金额差异","✓")))))</f>
        <v/>
      </c>
    </row>
    <row r="71">
      <c r="A71">
        <f>IF(订单数据!B71="","",订单数据!A71)</f>
        <v/>
      </c>
      <c r="B71">
        <f>IF(订单数据!B71="","",订单数据!B71)</f>
        <v/>
      </c>
      <c r="C71" s="6">
        <f>IF($B71="","",ROUND(订单数据!C71+订单数据!D71,2))</f>
        <v/>
      </c>
      <c r="D71" s="6">
        <f>IF($B71="","",ROUND(SUMIFS(资金账单!$G$2:$G$101,资金账单!$B$2:$B$101,$B71)+SUMIFS(资金账单!$D$2:$D$101,资金账单!$B$2:$B$101,$B71)+SUMIFS(资金账单!$E$2:$E$101,资金账单!$B$2:$B$101,$B71)+SUMIFS(资金账单!$F$2:$F$101,资金账单!$B$2:$B$101,$B71),2))</f>
        <v/>
      </c>
      <c r="E71">
        <f>IF($B71="","",COUNTIF(资金账单!$B$2:$B$101,$B71))</f>
        <v/>
      </c>
      <c r="F71" s="6">
        <f>IF($B71="","",ROUND($C71-$D71,2))</f>
        <v/>
      </c>
      <c r="G71" s="6">
        <f>IF($B71="","",ROUND(订单数据!E71-SUMIFS(资金账单!$F$2:$F$101,资金账单!$B$2:$B$101,$B71),2))</f>
        <v/>
      </c>
      <c r="H71">
        <f>IF($B71="","",IF($E71=0,"⚠未结算",IF($E71&gt;1,"❌重复结算",IF(AND(ABS($G71)&gt;0.01,ABS($F71)&lt;=0.01),"❌退款未同步",IF(OR(ABS($F71)&gt;0.01,ABS($G71)&gt;0.01),"❌金额差异","✓")))))</f>
        <v/>
      </c>
    </row>
    <row r="72">
      <c r="A72">
        <f>IF(订单数据!B72="","",订单数据!A72)</f>
        <v/>
      </c>
      <c r="B72">
        <f>IF(订单数据!B72="","",订单数据!B72)</f>
        <v/>
      </c>
      <c r="C72" s="6">
        <f>IF($B72="","",ROUND(订单数据!C72+订单数据!D72,2))</f>
        <v/>
      </c>
      <c r="D72" s="6">
        <f>IF($B72="","",ROUND(SUMIFS(资金账单!$G$2:$G$101,资金账单!$B$2:$B$101,$B72)+SUMIFS(资金账单!$D$2:$D$101,资金账单!$B$2:$B$101,$B72)+SUMIFS(资金账单!$E$2:$E$101,资金账单!$B$2:$B$101,$B72)+SUMIFS(资金账单!$F$2:$F$101,资金账单!$B$2:$B$101,$B72),2))</f>
        <v/>
      </c>
      <c r="E72">
        <f>IF($B72="","",COUNTIF(资金账单!$B$2:$B$101,$B72))</f>
        <v/>
      </c>
      <c r="F72" s="6">
        <f>IF($B72="","",ROUND($C72-$D72,2))</f>
        <v/>
      </c>
      <c r="G72" s="6">
        <f>IF($B72="","",ROUND(订单数据!E72-SUMIFS(资金账单!$F$2:$F$101,资金账单!$B$2:$B$101,$B72),2))</f>
        <v/>
      </c>
      <c r="H72">
        <f>IF($B72="","",IF($E72=0,"⚠未结算",IF($E72&gt;1,"❌重复结算",IF(AND(ABS($G72)&gt;0.01,ABS($F72)&lt;=0.01),"❌退款未同步",IF(OR(ABS($F72)&gt;0.01,ABS($G72)&gt;0.01),"❌金额差异","✓")))))</f>
        <v/>
      </c>
    </row>
    <row r="73">
      <c r="A73">
        <f>IF(订单数据!B73="","",订单数据!A73)</f>
        <v/>
      </c>
      <c r="B73">
        <f>IF(订单数据!B73="","",订单数据!B73)</f>
        <v/>
      </c>
      <c r="C73" s="6">
        <f>IF($B73="","",ROUND(订单数据!C73+订单数据!D73,2))</f>
        <v/>
      </c>
      <c r="D73" s="6">
        <f>IF($B73="","",ROUND(SUMIFS(资金账单!$G$2:$G$101,资金账单!$B$2:$B$101,$B73)+SUMIFS(资金账单!$D$2:$D$101,资金账单!$B$2:$B$101,$B73)+SUMIFS(资金账单!$E$2:$E$101,资金账单!$B$2:$B$101,$B73)+SUMIFS(资金账单!$F$2:$F$101,资金账单!$B$2:$B$101,$B73),2))</f>
        <v/>
      </c>
      <c r="E73">
        <f>IF($B73="","",COUNTIF(资金账单!$B$2:$B$101,$B73))</f>
        <v/>
      </c>
      <c r="F73" s="6">
        <f>IF($B73="","",ROUND($C73-$D73,2))</f>
        <v/>
      </c>
      <c r="G73" s="6">
        <f>IF($B73="","",ROUND(订单数据!E73-SUMIFS(资金账单!$F$2:$F$101,资金账单!$B$2:$B$101,$B73),2))</f>
        <v/>
      </c>
      <c r="H73">
        <f>IF($B73="","",IF($E73=0,"⚠未结算",IF($E73&gt;1,"❌重复结算",IF(AND(ABS($G73)&gt;0.01,ABS($F73)&lt;=0.01),"❌退款未同步",IF(OR(ABS($F73)&gt;0.01,ABS($G73)&gt;0.01),"❌金额差异","✓")))))</f>
        <v/>
      </c>
    </row>
    <row r="74">
      <c r="A74">
        <f>IF(订单数据!B74="","",订单数据!A74)</f>
        <v/>
      </c>
      <c r="B74">
        <f>IF(订单数据!B74="","",订单数据!B74)</f>
        <v/>
      </c>
      <c r="C74" s="6">
        <f>IF($B74="","",ROUND(订单数据!C74+订单数据!D74,2))</f>
        <v/>
      </c>
      <c r="D74" s="6">
        <f>IF($B74="","",ROUND(SUMIFS(资金账单!$G$2:$G$101,资金账单!$B$2:$B$101,$B74)+SUMIFS(资金账单!$D$2:$D$101,资金账单!$B$2:$B$101,$B74)+SUMIFS(资金账单!$E$2:$E$101,资金账单!$B$2:$B$101,$B74)+SUMIFS(资金账单!$F$2:$F$101,资金账单!$B$2:$B$101,$B74),2))</f>
        <v/>
      </c>
      <c r="E74">
        <f>IF($B74="","",COUNTIF(资金账单!$B$2:$B$101,$B74))</f>
        <v/>
      </c>
      <c r="F74" s="6">
        <f>IF($B74="","",ROUND($C74-$D74,2))</f>
        <v/>
      </c>
      <c r="G74" s="6">
        <f>IF($B74="","",ROUND(订单数据!E74-SUMIFS(资金账单!$F$2:$F$101,资金账单!$B$2:$B$101,$B74),2))</f>
        <v/>
      </c>
      <c r="H74">
        <f>IF($B74="","",IF($E74=0,"⚠未结算",IF($E74&gt;1,"❌重复结算",IF(AND(ABS($G74)&gt;0.01,ABS($F74)&lt;=0.01),"❌退款未同步",IF(OR(ABS($F74)&gt;0.01,ABS($G74)&gt;0.01),"❌金额差异","✓")))))</f>
        <v/>
      </c>
    </row>
    <row r="75">
      <c r="A75">
        <f>IF(订单数据!B75="","",订单数据!A75)</f>
        <v/>
      </c>
      <c r="B75">
        <f>IF(订单数据!B75="","",订单数据!B75)</f>
        <v/>
      </c>
      <c r="C75" s="6">
        <f>IF($B75="","",ROUND(订单数据!C75+订单数据!D75,2))</f>
        <v/>
      </c>
      <c r="D75" s="6">
        <f>IF($B75="","",ROUND(SUMIFS(资金账单!$G$2:$G$101,资金账单!$B$2:$B$101,$B75)+SUMIFS(资金账单!$D$2:$D$101,资金账单!$B$2:$B$101,$B75)+SUMIFS(资金账单!$E$2:$E$101,资金账单!$B$2:$B$101,$B75)+SUMIFS(资金账单!$F$2:$F$101,资金账单!$B$2:$B$101,$B75),2))</f>
        <v/>
      </c>
      <c r="E75">
        <f>IF($B75="","",COUNTIF(资金账单!$B$2:$B$101,$B75))</f>
        <v/>
      </c>
      <c r="F75" s="6">
        <f>IF($B75="","",ROUND($C75-$D75,2))</f>
        <v/>
      </c>
      <c r="G75" s="6">
        <f>IF($B75="","",ROUND(订单数据!E75-SUMIFS(资金账单!$F$2:$F$101,资金账单!$B$2:$B$101,$B75),2))</f>
        <v/>
      </c>
      <c r="H75">
        <f>IF($B75="","",IF($E75=0,"⚠未结算",IF($E75&gt;1,"❌重复结算",IF(AND(ABS($G75)&gt;0.01,ABS($F75)&lt;=0.01),"❌退款未同步",IF(OR(ABS($F75)&gt;0.01,ABS($G75)&gt;0.01),"❌金额差异","✓")))))</f>
        <v/>
      </c>
    </row>
    <row r="76">
      <c r="A76">
        <f>IF(订单数据!B76="","",订单数据!A76)</f>
        <v/>
      </c>
      <c r="B76">
        <f>IF(订单数据!B76="","",订单数据!B76)</f>
        <v/>
      </c>
      <c r="C76" s="6">
        <f>IF($B76="","",ROUND(订单数据!C76+订单数据!D76,2))</f>
        <v/>
      </c>
      <c r="D76" s="6">
        <f>IF($B76="","",ROUND(SUMIFS(资金账单!$G$2:$G$101,资金账单!$B$2:$B$101,$B76)+SUMIFS(资金账单!$D$2:$D$101,资金账单!$B$2:$B$101,$B76)+SUMIFS(资金账单!$E$2:$E$101,资金账单!$B$2:$B$101,$B76)+SUMIFS(资金账单!$F$2:$F$101,资金账单!$B$2:$B$101,$B76),2))</f>
        <v/>
      </c>
      <c r="E76">
        <f>IF($B76="","",COUNTIF(资金账单!$B$2:$B$101,$B76))</f>
        <v/>
      </c>
      <c r="F76" s="6">
        <f>IF($B76="","",ROUND($C76-$D76,2))</f>
        <v/>
      </c>
      <c r="G76" s="6">
        <f>IF($B76="","",ROUND(订单数据!E76-SUMIFS(资金账单!$F$2:$F$101,资金账单!$B$2:$B$101,$B76),2))</f>
        <v/>
      </c>
      <c r="H76">
        <f>IF($B76="","",IF($E76=0,"⚠未结算",IF($E76&gt;1,"❌重复结算",IF(AND(ABS($G76)&gt;0.01,ABS($F76)&lt;=0.01),"❌退款未同步",IF(OR(ABS($F76)&gt;0.01,ABS($G76)&gt;0.01),"❌金额差异","✓")))))</f>
        <v/>
      </c>
    </row>
    <row r="77">
      <c r="A77">
        <f>IF(订单数据!B77="","",订单数据!A77)</f>
        <v/>
      </c>
      <c r="B77">
        <f>IF(订单数据!B77="","",订单数据!B77)</f>
        <v/>
      </c>
      <c r="C77" s="6">
        <f>IF($B77="","",ROUND(订单数据!C77+订单数据!D77,2))</f>
        <v/>
      </c>
      <c r="D77" s="6">
        <f>IF($B77="","",ROUND(SUMIFS(资金账单!$G$2:$G$101,资金账单!$B$2:$B$101,$B77)+SUMIFS(资金账单!$D$2:$D$101,资金账单!$B$2:$B$101,$B77)+SUMIFS(资金账单!$E$2:$E$101,资金账单!$B$2:$B$101,$B77)+SUMIFS(资金账单!$F$2:$F$101,资金账单!$B$2:$B$101,$B77),2))</f>
        <v/>
      </c>
      <c r="E77">
        <f>IF($B77="","",COUNTIF(资金账单!$B$2:$B$101,$B77))</f>
        <v/>
      </c>
      <c r="F77" s="6">
        <f>IF($B77="","",ROUND($C77-$D77,2))</f>
        <v/>
      </c>
      <c r="G77" s="6">
        <f>IF($B77="","",ROUND(订单数据!E77-SUMIFS(资金账单!$F$2:$F$101,资金账单!$B$2:$B$101,$B77),2))</f>
        <v/>
      </c>
      <c r="H77">
        <f>IF($B77="","",IF($E77=0,"⚠未结算",IF($E77&gt;1,"❌重复结算",IF(AND(ABS($G77)&gt;0.01,ABS($F77)&lt;=0.01),"❌退款未同步",IF(OR(ABS($F77)&gt;0.01,ABS($G77)&gt;0.01),"❌金额差异","✓")))))</f>
        <v/>
      </c>
    </row>
    <row r="78">
      <c r="A78">
        <f>IF(订单数据!B78="","",订单数据!A78)</f>
        <v/>
      </c>
      <c r="B78">
        <f>IF(订单数据!B78="","",订单数据!B78)</f>
        <v/>
      </c>
      <c r="C78" s="6">
        <f>IF($B78="","",ROUND(订单数据!C78+订单数据!D78,2))</f>
        <v/>
      </c>
      <c r="D78" s="6">
        <f>IF($B78="","",ROUND(SUMIFS(资金账单!$G$2:$G$101,资金账单!$B$2:$B$101,$B78)+SUMIFS(资金账单!$D$2:$D$101,资金账单!$B$2:$B$101,$B78)+SUMIFS(资金账单!$E$2:$E$101,资金账单!$B$2:$B$101,$B78)+SUMIFS(资金账单!$F$2:$F$101,资金账单!$B$2:$B$101,$B78),2))</f>
        <v/>
      </c>
      <c r="E78">
        <f>IF($B78="","",COUNTIF(资金账单!$B$2:$B$101,$B78))</f>
        <v/>
      </c>
      <c r="F78" s="6">
        <f>IF($B78="","",ROUND($C78-$D78,2))</f>
        <v/>
      </c>
      <c r="G78" s="6">
        <f>IF($B78="","",ROUND(订单数据!E78-SUMIFS(资金账单!$F$2:$F$101,资金账单!$B$2:$B$101,$B78),2))</f>
        <v/>
      </c>
      <c r="H78">
        <f>IF($B78="","",IF($E78=0,"⚠未结算",IF($E78&gt;1,"❌重复结算",IF(AND(ABS($G78)&gt;0.01,ABS($F78)&lt;=0.01),"❌退款未同步",IF(OR(ABS($F78)&gt;0.01,ABS($G78)&gt;0.01),"❌金额差异","✓")))))</f>
        <v/>
      </c>
    </row>
    <row r="79">
      <c r="A79">
        <f>IF(订单数据!B79="","",订单数据!A79)</f>
        <v/>
      </c>
      <c r="B79">
        <f>IF(订单数据!B79="","",订单数据!B79)</f>
        <v/>
      </c>
      <c r="C79" s="6">
        <f>IF($B79="","",ROUND(订单数据!C79+订单数据!D79,2))</f>
        <v/>
      </c>
      <c r="D79" s="6">
        <f>IF($B79="","",ROUND(SUMIFS(资金账单!$G$2:$G$101,资金账单!$B$2:$B$101,$B79)+SUMIFS(资金账单!$D$2:$D$101,资金账单!$B$2:$B$101,$B79)+SUMIFS(资金账单!$E$2:$E$101,资金账单!$B$2:$B$101,$B79)+SUMIFS(资金账单!$F$2:$F$101,资金账单!$B$2:$B$101,$B79),2))</f>
        <v/>
      </c>
      <c r="E79">
        <f>IF($B79="","",COUNTIF(资金账单!$B$2:$B$101,$B79))</f>
        <v/>
      </c>
      <c r="F79" s="6">
        <f>IF($B79="","",ROUND($C79-$D79,2))</f>
        <v/>
      </c>
      <c r="G79" s="6">
        <f>IF($B79="","",ROUND(订单数据!E79-SUMIFS(资金账单!$F$2:$F$101,资金账单!$B$2:$B$101,$B79),2))</f>
        <v/>
      </c>
      <c r="H79">
        <f>IF($B79="","",IF($E79=0,"⚠未结算",IF($E79&gt;1,"❌重复结算",IF(AND(ABS($G79)&gt;0.01,ABS($F79)&lt;=0.01),"❌退款未同步",IF(OR(ABS($F79)&gt;0.01,ABS($G79)&gt;0.01),"❌金额差异","✓")))))</f>
        <v/>
      </c>
    </row>
    <row r="80">
      <c r="A80">
        <f>IF(订单数据!B80="","",订单数据!A80)</f>
        <v/>
      </c>
      <c r="B80">
        <f>IF(订单数据!B80="","",订单数据!B80)</f>
        <v/>
      </c>
      <c r="C80" s="6">
        <f>IF($B80="","",ROUND(订单数据!C80+订单数据!D80,2))</f>
        <v/>
      </c>
      <c r="D80" s="6">
        <f>IF($B80="","",ROUND(SUMIFS(资金账单!$G$2:$G$101,资金账单!$B$2:$B$101,$B80)+SUMIFS(资金账单!$D$2:$D$101,资金账单!$B$2:$B$101,$B80)+SUMIFS(资金账单!$E$2:$E$101,资金账单!$B$2:$B$101,$B80)+SUMIFS(资金账单!$F$2:$F$101,资金账单!$B$2:$B$101,$B80),2))</f>
        <v/>
      </c>
      <c r="E80">
        <f>IF($B80="","",COUNTIF(资金账单!$B$2:$B$101,$B80))</f>
        <v/>
      </c>
      <c r="F80" s="6">
        <f>IF($B80="","",ROUND($C80-$D80,2))</f>
        <v/>
      </c>
      <c r="G80" s="6">
        <f>IF($B80="","",ROUND(订单数据!E80-SUMIFS(资金账单!$F$2:$F$101,资金账单!$B$2:$B$101,$B80),2))</f>
        <v/>
      </c>
      <c r="H80">
        <f>IF($B80="","",IF($E80=0,"⚠未结算",IF($E80&gt;1,"❌重复结算",IF(AND(ABS($G80)&gt;0.01,ABS($F80)&lt;=0.01),"❌退款未同步",IF(OR(ABS($F80)&gt;0.01,ABS($G80)&gt;0.01),"❌金额差异","✓")))))</f>
        <v/>
      </c>
    </row>
    <row r="81">
      <c r="A81">
        <f>IF(订单数据!B81="","",订单数据!A81)</f>
        <v/>
      </c>
      <c r="B81">
        <f>IF(订单数据!B81="","",订单数据!B81)</f>
        <v/>
      </c>
      <c r="C81" s="6">
        <f>IF($B81="","",ROUND(订单数据!C81+订单数据!D81,2))</f>
        <v/>
      </c>
      <c r="D81" s="6">
        <f>IF($B81="","",ROUND(SUMIFS(资金账单!$G$2:$G$101,资金账单!$B$2:$B$101,$B81)+SUMIFS(资金账单!$D$2:$D$101,资金账单!$B$2:$B$101,$B81)+SUMIFS(资金账单!$E$2:$E$101,资金账单!$B$2:$B$101,$B81)+SUMIFS(资金账单!$F$2:$F$101,资金账单!$B$2:$B$101,$B81),2))</f>
        <v/>
      </c>
      <c r="E81">
        <f>IF($B81="","",COUNTIF(资金账单!$B$2:$B$101,$B81))</f>
        <v/>
      </c>
      <c r="F81" s="6">
        <f>IF($B81="","",ROUND($C81-$D81,2))</f>
        <v/>
      </c>
      <c r="G81" s="6">
        <f>IF($B81="","",ROUND(订单数据!E81-SUMIFS(资金账单!$F$2:$F$101,资金账单!$B$2:$B$101,$B81),2))</f>
        <v/>
      </c>
      <c r="H81">
        <f>IF($B81="","",IF($E81=0,"⚠未结算",IF($E81&gt;1,"❌重复结算",IF(AND(ABS($G81)&gt;0.01,ABS($F81)&lt;=0.01),"❌退款未同步",IF(OR(ABS($F81)&gt;0.01,ABS($G81)&gt;0.01),"❌金额差异","✓")))))</f>
        <v/>
      </c>
    </row>
    <row r="82">
      <c r="A82">
        <f>IF(订单数据!B82="","",订单数据!A82)</f>
        <v/>
      </c>
      <c r="B82">
        <f>IF(订单数据!B82="","",订单数据!B82)</f>
        <v/>
      </c>
      <c r="C82" s="6">
        <f>IF($B82="","",ROUND(订单数据!C82+订单数据!D82,2))</f>
        <v/>
      </c>
      <c r="D82" s="6">
        <f>IF($B82="","",ROUND(SUMIFS(资金账单!$G$2:$G$101,资金账单!$B$2:$B$101,$B82)+SUMIFS(资金账单!$D$2:$D$101,资金账单!$B$2:$B$101,$B82)+SUMIFS(资金账单!$E$2:$E$101,资金账单!$B$2:$B$101,$B82)+SUMIFS(资金账单!$F$2:$F$101,资金账单!$B$2:$B$101,$B82),2))</f>
        <v/>
      </c>
      <c r="E82">
        <f>IF($B82="","",COUNTIF(资金账单!$B$2:$B$101,$B82))</f>
        <v/>
      </c>
      <c r="F82" s="6">
        <f>IF($B82="","",ROUND($C82-$D82,2))</f>
        <v/>
      </c>
      <c r="G82" s="6">
        <f>IF($B82="","",ROUND(订单数据!E82-SUMIFS(资金账单!$F$2:$F$101,资金账单!$B$2:$B$101,$B82),2))</f>
        <v/>
      </c>
      <c r="H82">
        <f>IF($B82="","",IF($E82=0,"⚠未结算",IF($E82&gt;1,"❌重复结算",IF(AND(ABS($G82)&gt;0.01,ABS($F82)&lt;=0.01),"❌退款未同步",IF(OR(ABS($F82)&gt;0.01,ABS($G82)&gt;0.01),"❌金额差异","✓")))))</f>
        <v/>
      </c>
    </row>
    <row r="83">
      <c r="A83">
        <f>IF(订单数据!B83="","",订单数据!A83)</f>
        <v/>
      </c>
      <c r="B83">
        <f>IF(订单数据!B83="","",订单数据!B83)</f>
        <v/>
      </c>
      <c r="C83" s="6">
        <f>IF($B83="","",ROUND(订单数据!C83+订单数据!D83,2))</f>
        <v/>
      </c>
      <c r="D83" s="6">
        <f>IF($B83="","",ROUND(SUMIFS(资金账单!$G$2:$G$101,资金账单!$B$2:$B$101,$B83)+SUMIFS(资金账单!$D$2:$D$101,资金账单!$B$2:$B$101,$B83)+SUMIFS(资金账单!$E$2:$E$101,资金账单!$B$2:$B$101,$B83)+SUMIFS(资金账单!$F$2:$F$101,资金账单!$B$2:$B$101,$B83),2))</f>
        <v/>
      </c>
      <c r="E83">
        <f>IF($B83="","",COUNTIF(资金账单!$B$2:$B$101,$B83))</f>
        <v/>
      </c>
      <c r="F83" s="6">
        <f>IF($B83="","",ROUND($C83-$D83,2))</f>
        <v/>
      </c>
      <c r="G83" s="6">
        <f>IF($B83="","",ROUND(订单数据!E83-SUMIFS(资金账单!$F$2:$F$101,资金账单!$B$2:$B$101,$B83),2))</f>
        <v/>
      </c>
      <c r="H83">
        <f>IF($B83="","",IF($E83=0,"⚠未结算",IF($E83&gt;1,"❌重复结算",IF(AND(ABS($G83)&gt;0.01,ABS($F83)&lt;=0.01),"❌退款未同步",IF(OR(ABS($F83)&gt;0.01,ABS($G83)&gt;0.01),"❌金额差异","✓")))))</f>
        <v/>
      </c>
    </row>
    <row r="84">
      <c r="A84">
        <f>IF(订单数据!B84="","",订单数据!A84)</f>
        <v/>
      </c>
      <c r="B84">
        <f>IF(订单数据!B84="","",订单数据!B84)</f>
        <v/>
      </c>
      <c r="C84" s="6">
        <f>IF($B84="","",ROUND(订单数据!C84+订单数据!D84,2))</f>
        <v/>
      </c>
      <c r="D84" s="6">
        <f>IF($B84="","",ROUND(SUMIFS(资金账单!$G$2:$G$101,资金账单!$B$2:$B$101,$B84)+SUMIFS(资金账单!$D$2:$D$101,资金账单!$B$2:$B$101,$B84)+SUMIFS(资金账单!$E$2:$E$101,资金账单!$B$2:$B$101,$B84)+SUMIFS(资金账单!$F$2:$F$101,资金账单!$B$2:$B$101,$B84),2))</f>
        <v/>
      </c>
      <c r="E84">
        <f>IF($B84="","",COUNTIF(资金账单!$B$2:$B$101,$B84))</f>
        <v/>
      </c>
      <c r="F84" s="6">
        <f>IF($B84="","",ROUND($C84-$D84,2))</f>
        <v/>
      </c>
      <c r="G84" s="6">
        <f>IF($B84="","",ROUND(订单数据!E84-SUMIFS(资金账单!$F$2:$F$101,资金账单!$B$2:$B$101,$B84),2))</f>
        <v/>
      </c>
      <c r="H84">
        <f>IF($B84="","",IF($E84=0,"⚠未结算",IF($E84&gt;1,"❌重复结算",IF(AND(ABS($G84)&gt;0.01,ABS($F84)&lt;=0.01),"❌退款未同步",IF(OR(ABS($F84)&gt;0.01,ABS($G84)&gt;0.01),"❌金额差异","✓")))))</f>
        <v/>
      </c>
    </row>
    <row r="85">
      <c r="A85">
        <f>IF(订单数据!B85="","",订单数据!A85)</f>
        <v/>
      </c>
      <c r="B85">
        <f>IF(订单数据!B85="","",订单数据!B85)</f>
        <v/>
      </c>
      <c r="C85" s="6">
        <f>IF($B85="","",ROUND(订单数据!C85+订单数据!D85,2))</f>
        <v/>
      </c>
      <c r="D85" s="6">
        <f>IF($B85="","",ROUND(SUMIFS(资金账单!$G$2:$G$101,资金账单!$B$2:$B$101,$B85)+SUMIFS(资金账单!$D$2:$D$101,资金账单!$B$2:$B$101,$B85)+SUMIFS(资金账单!$E$2:$E$101,资金账单!$B$2:$B$101,$B85)+SUMIFS(资金账单!$F$2:$F$101,资金账单!$B$2:$B$101,$B85),2))</f>
        <v/>
      </c>
      <c r="E85">
        <f>IF($B85="","",COUNTIF(资金账单!$B$2:$B$101,$B85))</f>
        <v/>
      </c>
      <c r="F85" s="6">
        <f>IF($B85="","",ROUND($C85-$D85,2))</f>
        <v/>
      </c>
      <c r="G85" s="6">
        <f>IF($B85="","",ROUND(订单数据!E85-SUMIFS(资金账单!$F$2:$F$101,资金账单!$B$2:$B$101,$B85),2))</f>
        <v/>
      </c>
      <c r="H85">
        <f>IF($B85="","",IF($E85=0,"⚠未结算",IF($E85&gt;1,"❌重复结算",IF(AND(ABS($G85)&gt;0.01,ABS($F85)&lt;=0.01),"❌退款未同步",IF(OR(ABS($F85)&gt;0.01,ABS($G85)&gt;0.01),"❌金额差异","✓")))))</f>
        <v/>
      </c>
    </row>
    <row r="86">
      <c r="A86">
        <f>IF(订单数据!B86="","",订单数据!A86)</f>
        <v/>
      </c>
      <c r="B86">
        <f>IF(订单数据!B86="","",订单数据!B86)</f>
        <v/>
      </c>
      <c r="C86" s="6">
        <f>IF($B86="","",ROUND(订单数据!C86+订单数据!D86,2))</f>
        <v/>
      </c>
      <c r="D86" s="6">
        <f>IF($B86="","",ROUND(SUMIFS(资金账单!$G$2:$G$101,资金账单!$B$2:$B$101,$B86)+SUMIFS(资金账单!$D$2:$D$101,资金账单!$B$2:$B$101,$B86)+SUMIFS(资金账单!$E$2:$E$101,资金账单!$B$2:$B$101,$B86)+SUMIFS(资金账单!$F$2:$F$101,资金账单!$B$2:$B$101,$B86),2))</f>
        <v/>
      </c>
      <c r="E86">
        <f>IF($B86="","",COUNTIF(资金账单!$B$2:$B$101,$B86))</f>
        <v/>
      </c>
      <c r="F86" s="6">
        <f>IF($B86="","",ROUND($C86-$D86,2))</f>
        <v/>
      </c>
      <c r="G86" s="6">
        <f>IF($B86="","",ROUND(订单数据!E86-SUMIFS(资金账单!$F$2:$F$101,资金账单!$B$2:$B$101,$B86),2))</f>
        <v/>
      </c>
      <c r="H86">
        <f>IF($B86="","",IF($E86=0,"⚠未结算",IF($E86&gt;1,"❌重复结算",IF(AND(ABS($G86)&gt;0.01,ABS($F86)&lt;=0.01),"❌退款未同步",IF(OR(ABS($F86)&gt;0.01,ABS($G86)&gt;0.01),"❌金额差异","✓")))))</f>
        <v/>
      </c>
    </row>
    <row r="87">
      <c r="A87">
        <f>IF(订单数据!B87="","",订单数据!A87)</f>
        <v/>
      </c>
      <c r="B87">
        <f>IF(订单数据!B87="","",订单数据!B87)</f>
        <v/>
      </c>
      <c r="C87" s="6">
        <f>IF($B87="","",ROUND(订单数据!C87+订单数据!D87,2))</f>
        <v/>
      </c>
      <c r="D87" s="6">
        <f>IF($B87="","",ROUND(SUMIFS(资金账单!$G$2:$G$101,资金账单!$B$2:$B$101,$B87)+SUMIFS(资金账单!$D$2:$D$101,资金账单!$B$2:$B$101,$B87)+SUMIFS(资金账单!$E$2:$E$101,资金账单!$B$2:$B$101,$B87)+SUMIFS(资金账单!$F$2:$F$101,资金账单!$B$2:$B$101,$B87),2))</f>
        <v/>
      </c>
      <c r="E87">
        <f>IF($B87="","",COUNTIF(资金账单!$B$2:$B$101,$B87))</f>
        <v/>
      </c>
      <c r="F87" s="6">
        <f>IF($B87="","",ROUND($C87-$D87,2))</f>
        <v/>
      </c>
      <c r="G87" s="6">
        <f>IF($B87="","",ROUND(订单数据!E87-SUMIFS(资金账单!$F$2:$F$101,资金账单!$B$2:$B$101,$B87),2))</f>
        <v/>
      </c>
      <c r="H87">
        <f>IF($B87="","",IF($E87=0,"⚠未结算",IF($E87&gt;1,"❌重复结算",IF(AND(ABS($G87)&gt;0.01,ABS($F87)&lt;=0.01),"❌退款未同步",IF(OR(ABS($F87)&gt;0.01,ABS($G87)&gt;0.01),"❌金额差异","✓")))))</f>
        <v/>
      </c>
    </row>
    <row r="88">
      <c r="A88">
        <f>IF(订单数据!B88="","",订单数据!A88)</f>
        <v/>
      </c>
      <c r="B88">
        <f>IF(订单数据!B88="","",订单数据!B88)</f>
        <v/>
      </c>
      <c r="C88" s="6">
        <f>IF($B88="","",ROUND(订单数据!C88+订单数据!D88,2))</f>
        <v/>
      </c>
      <c r="D88" s="6">
        <f>IF($B88="","",ROUND(SUMIFS(资金账单!$G$2:$G$101,资金账单!$B$2:$B$101,$B88)+SUMIFS(资金账单!$D$2:$D$101,资金账单!$B$2:$B$101,$B88)+SUMIFS(资金账单!$E$2:$E$101,资金账单!$B$2:$B$101,$B88)+SUMIFS(资金账单!$F$2:$F$101,资金账单!$B$2:$B$101,$B88),2))</f>
        <v/>
      </c>
      <c r="E88">
        <f>IF($B88="","",COUNTIF(资金账单!$B$2:$B$101,$B88))</f>
        <v/>
      </c>
      <c r="F88" s="6">
        <f>IF($B88="","",ROUND($C88-$D88,2))</f>
        <v/>
      </c>
      <c r="G88" s="6">
        <f>IF($B88="","",ROUND(订单数据!E88-SUMIFS(资金账单!$F$2:$F$101,资金账单!$B$2:$B$101,$B88),2))</f>
        <v/>
      </c>
      <c r="H88">
        <f>IF($B88="","",IF($E88=0,"⚠未结算",IF($E88&gt;1,"❌重复结算",IF(AND(ABS($G88)&gt;0.01,ABS($F88)&lt;=0.01),"❌退款未同步",IF(OR(ABS($F88)&gt;0.01,ABS($G88)&gt;0.01),"❌金额差异","✓")))))</f>
        <v/>
      </c>
    </row>
    <row r="89">
      <c r="A89">
        <f>IF(订单数据!B89="","",订单数据!A89)</f>
        <v/>
      </c>
      <c r="B89">
        <f>IF(订单数据!B89="","",订单数据!B89)</f>
        <v/>
      </c>
      <c r="C89" s="6">
        <f>IF($B89="","",ROUND(订单数据!C89+订单数据!D89,2))</f>
        <v/>
      </c>
      <c r="D89" s="6">
        <f>IF($B89="","",ROUND(SUMIFS(资金账单!$G$2:$G$101,资金账单!$B$2:$B$101,$B89)+SUMIFS(资金账单!$D$2:$D$101,资金账单!$B$2:$B$101,$B89)+SUMIFS(资金账单!$E$2:$E$101,资金账单!$B$2:$B$101,$B89)+SUMIFS(资金账单!$F$2:$F$101,资金账单!$B$2:$B$101,$B89),2))</f>
        <v/>
      </c>
      <c r="E89">
        <f>IF($B89="","",COUNTIF(资金账单!$B$2:$B$101,$B89))</f>
        <v/>
      </c>
      <c r="F89" s="6">
        <f>IF($B89="","",ROUND($C89-$D89,2))</f>
        <v/>
      </c>
      <c r="G89" s="6">
        <f>IF($B89="","",ROUND(订单数据!E89-SUMIFS(资金账单!$F$2:$F$101,资金账单!$B$2:$B$101,$B89),2))</f>
        <v/>
      </c>
      <c r="H89">
        <f>IF($B89="","",IF($E89=0,"⚠未结算",IF($E89&gt;1,"❌重复结算",IF(AND(ABS($G89)&gt;0.01,ABS($F89)&lt;=0.01),"❌退款未同步",IF(OR(ABS($F89)&gt;0.01,ABS($G89)&gt;0.01),"❌金额差异","✓")))))</f>
        <v/>
      </c>
    </row>
    <row r="90">
      <c r="A90">
        <f>IF(订单数据!B90="","",订单数据!A90)</f>
        <v/>
      </c>
      <c r="B90">
        <f>IF(订单数据!B90="","",订单数据!B90)</f>
        <v/>
      </c>
      <c r="C90" s="6">
        <f>IF($B90="","",ROUND(订单数据!C90+订单数据!D90,2))</f>
        <v/>
      </c>
      <c r="D90" s="6">
        <f>IF($B90="","",ROUND(SUMIFS(资金账单!$G$2:$G$101,资金账单!$B$2:$B$101,$B90)+SUMIFS(资金账单!$D$2:$D$101,资金账单!$B$2:$B$101,$B90)+SUMIFS(资金账单!$E$2:$E$101,资金账单!$B$2:$B$101,$B90)+SUMIFS(资金账单!$F$2:$F$101,资金账单!$B$2:$B$101,$B90),2))</f>
        <v/>
      </c>
      <c r="E90">
        <f>IF($B90="","",COUNTIF(资金账单!$B$2:$B$101,$B90))</f>
        <v/>
      </c>
      <c r="F90" s="6">
        <f>IF($B90="","",ROUND($C90-$D90,2))</f>
        <v/>
      </c>
      <c r="G90" s="6">
        <f>IF($B90="","",ROUND(订单数据!E90-SUMIFS(资金账单!$F$2:$F$101,资金账单!$B$2:$B$101,$B90),2))</f>
        <v/>
      </c>
      <c r="H90">
        <f>IF($B90="","",IF($E90=0,"⚠未结算",IF($E90&gt;1,"❌重复结算",IF(AND(ABS($G90)&gt;0.01,ABS($F90)&lt;=0.01),"❌退款未同步",IF(OR(ABS($F90)&gt;0.01,ABS($G90)&gt;0.01),"❌金额差异","✓")))))</f>
        <v/>
      </c>
    </row>
    <row r="91">
      <c r="A91">
        <f>IF(订单数据!B91="","",订单数据!A91)</f>
        <v/>
      </c>
      <c r="B91">
        <f>IF(订单数据!B91="","",订单数据!B91)</f>
        <v/>
      </c>
      <c r="C91" s="6">
        <f>IF($B91="","",ROUND(订单数据!C91+订单数据!D91,2))</f>
        <v/>
      </c>
      <c r="D91" s="6">
        <f>IF($B91="","",ROUND(SUMIFS(资金账单!$G$2:$G$101,资金账单!$B$2:$B$101,$B91)+SUMIFS(资金账单!$D$2:$D$101,资金账单!$B$2:$B$101,$B91)+SUMIFS(资金账单!$E$2:$E$101,资金账单!$B$2:$B$101,$B91)+SUMIFS(资金账单!$F$2:$F$101,资金账单!$B$2:$B$101,$B91),2))</f>
        <v/>
      </c>
      <c r="E91">
        <f>IF($B91="","",COUNTIF(资金账单!$B$2:$B$101,$B91))</f>
        <v/>
      </c>
      <c r="F91" s="6">
        <f>IF($B91="","",ROUND($C91-$D91,2))</f>
        <v/>
      </c>
      <c r="G91" s="6">
        <f>IF($B91="","",ROUND(订单数据!E91-SUMIFS(资金账单!$F$2:$F$101,资金账单!$B$2:$B$101,$B91),2))</f>
        <v/>
      </c>
      <c r="H91">
        <f>IF($B91="","",IF($E91=0,"⚠未结算",IF($E91&gt;1,"❌重复结算",IF(AND(ABS($G91)&gt;0.01,ABS($F91)&lt;=0.01),"❌退款未同步",IF(OR(ABS($F91)&gt;0.01,ABS($G91)&gt;0.01),"❌金额差异","✓")))))</f>
        <v/>
      </c>
    </row>
    <row r="92">
      <c r="A92">
        <f>IF(订单数据!B92="","",订单数据!A92)</f>
        <v/>
      </c>
      <c r="B92">
        <f>IF(订单数据!B92="","",订单数据!B92)</f>
        <v/>
      </c>
      <c r="C92" s="6">
        <f>IF($B92="","",ROUND(订单数据!C92+订单数据!D92,2))</f>
        <v/>
      </c>
      <c r="D92" s="6">
        <f>IF($B92="","",ROUND(SUMIFS(资金账单!$G$2:$G$101,资金账单!$B$2:$B$101,$B92)+SUMIFS(资金账单!$D$2:$D$101,资金账单!$B$2:$B$101,$B92)+SUMIFS(资金账单!$E$2:$E$101,资金账单!$B$2:$B$101,$B92)+SUMIFS(资金账单!$F$2:$F$101,资金账单!$B$2:$B$101,$B92),2))</f>
        <v/>
      </c>
      <c r="E92">
        <f>IF($B92="","",COUNTIF(资金账单!$B$2:$B$101,$B92))</f>
        <v/>
      </c>
      <c r="F92" s="6">
        <f>IF($B92="","",ROUND($C92-$D92,2))</f>
        <v/>
      </c>
      <c r="G92" s="6">
        <f>IF($B92="","",ROUND(订单数据!E92-SUMIFS(资金账单!$F$2:$F$101,资金账单!$B$2:$B$101,$B92),2))</f>
        <v/>
      </c>
      <c r="H92">
        <f>IF($B92="","",IF($E92=0,"⚠未结算",IF($E92&gt;1,"❌重复结算",IF(AND(ABS($G92)&gt;0.01,ABS($F92)&lt;=0.01),"❌退款未同步",IF(OR(ABS($F92)&gt;0.01,ABS($G92)&gt;0.01),"❌金额差异","✓")))))</f>
        <v/>
      </c>
    </row>
    <row r="93">
      <c r="A93">
        <f>IF(订单数据!B93="","",订单数据!A93)</f>
        <v/>
      </c>
      <c r="B93">
        <f>IF(订单数据!B93="","",订单数据!B93)</f>
        <v/>
      </c>
      <c r="C93" s="6">
        <f>IF($B93="","",ROUND(订单数据!C93+订单数据!D93,2))</f>
        <v/>
      </c>
      <c r="D93" s="6">
        <f>IF($B93="","",ROUND(SUMIFS(资金账单!$G$2:$G$101,资金账单!$B$2:$B$101,$B93)+SUMIFS(资金账单!$D$2:$D$101,资金账单!$B$2:$B$101,$B93)+SUMIFS(资金账单!$E$2:$E$101,资金账单!$B$2:$B$101,$B93)+SUMIFS(资金账单!$F$2:$F$101,资金账单!$B$2:$B$101,$B93),2))</f>
        <v/>
      </c>
      <c r="E93">
        <f>IF($B93="","",COUNTIF(资金账单!$B$2:$B$101,$B93))</f>
        <v/>
      </c>
      <c r="F93" s="6">
        <f>IF($B93="","",ROUND($C93-$D93,2))</f>
        <v/>
      </c>
      <c r="G93" s="6">
        <f>IF($B93="","",ROUND(订单数据!E93-SUMIFS(资金账单!$F$2:$F$101,资金账单!$B$2:$B$101,$B93),2))</f>
        <v/>
      </c>
      <c r="H93">
        <f>IF($B93="","",IF($E93=0,"⚠未结算",IF($E93&gt;1,"❌重复结算",IF(AND(ABS($G93)&gt;0.01,ABS($F93)&lt;=0.01),"❌退款未同步",IF(OR(ABS($F93)&gt;0.01,ABS($G93)&gt;0.01),"❌金额差异","✓")))))</f>
        <v/>
      </c>
    </row>
    <row r="94">
      <c r="A94">
        <f>IF(订单数据!B94="","",订单数据!A94)</f>
        <v/>
      </c>
      <c r="B94">
        <f>IF(订单数据!B94="","",订单数据!B94)</f>
        <v/>
      </c>
      <c r="C94" s="6">
        <f>IF($B94="","",ROUND(订单数据!C94+订单数据!D94,2))</f>
        <v/>
      </c>
      <c r="D94" s="6">
        <f>IF($B94="","",ROUND(SUMIFS(资金账单!$G$2:$G$101,资金账单!$B$2:$B$101,$B94)+SUMIFS(资金账单!$D$2:$D$101,资金账单!$B$2:$B$101,$B94)+SUMIFS(资金账单!$E$2:$E$101,资金账单!$B$2:$B$101,$B94)+SUMIFS(资金账单!$F$2:$F$101,资金账单!$B$2:$B$101,$B94),2))</f>
        <v/>
      </c>
      <c r="E94">
        <f>IF($B94="","",COUNTIF(资金账单!$B$2:$B$101,$B94))</f>
        <v/>
      </c>
      <c r="F94" s="6">
        <f>IF($B94="","",ROUND($C94-$D94,2))</f>
        <v/>
      </c>
      <c r="G94" s="6">
        <f>IF($B94="","",ROUND(订单数据!E94-SUMIFS(资金账单!$F$2:$F$101,资金账单!$B$2:$B$101,$B94),2))</f>
        <v/>
      </c>
      <c r="H94">
        <f>IF($B94="","",IF($E94=0,"⚠未结算",IF($E94&gt;1,"❌重复结算",IF(AND(ABS($G94)&gt;0.01,ABS($F94)&lt;=0.01),"❌退款未同步",IF(OR(ABS($F94)&gt;0.01,ABS($G94)&gt;0.01),"❌金额差异","✓")))))</f>
        <v/>
      </c>
    </row>
    <row r="95">
      <c r="A95">
        <f>IF(订单数据!B95="","",订单数据!A95)</f>
        <v/>
      </c>
      <c r="B95">
        <f>IF(订单数据!B95="","",订单数据!B95)</f>
        <v/>
      </c>
      <c r="C95" s="6">
        <f>IF($B95="","",ROUND(订单数据!C95+订单数据!D95,2))</f>
        <v/>
      </c>
      <c r="D95" s="6">
        <f>IF($B95="","",ROUND(SUMIFS(资金账单!$G$2:$G$101,资金账单!$B$2:$B$101,$B95)+SUMIFS(资金账单!$D$2:$D$101,资金账单!$B$2:$B$101,$B95)+SUMIFS(资金账单!$E$2:$E$101,资金账单!$B$2:$B$101,$B95)+SUMIFS(资金账单!$F$2:$F$101,资金账单!$B$2:$B$101,$B95),2))</f>
        <v/>
      </c>
      <c r="E95">
        <f>IF($B95="","",COUNTIF(资金账单!$B$2:$B$101,$B95))</f>
        <v/>
      </c>
      <c r="F95" s="6">
        <f>IF($B95="","",ROUND($C95-$D95,2))</f>
        <v/>
      </c>
      <c r="G95" s="6">
        <f>IF($B95="","",ROUND(订单数据!E95-SUMIFS(资金账单!$F$2:$F$101,资金账单!$B$2:$B$101,$B95),2))</f>
        <v/>
      </c>
      <c r="H95">
        <f>IF($B95="","",IF($E95=0,"⚠未结算",IF($E95&gt;1,"❌重复结算",IF(AND(ABS($G95)&gt;0.01,ABS($F95)&lt;=0.01),"❌退款未同步",IF(OR(ABS($F95)&gt;0.01,ABS($G95)&gt;0.01),"❌金额差异","✓")))))</f>
        <v/>
      </c>
    </row>
    <row r="96">
      <c r="A96">
        <f>IF(订单数据!B96="","",订单数据!A96)</f>
        <v/>
      </c>
      <c r="B96">
        <f>IF(订单数据!B96="","",订单数据!B96)</f>
        <v/>
      </c>
      <c r="C96" s="6">
        <f>IF($B96="","",ROUND(订单数据!C96+订单数据!D96,2))</f>
        <v/>
      </c>
      <c r="D96" s="6">
        <f>IF($B96="","",ROUND(SUMIFS(资金账单!$G$2:$G$101,资金账单!$B$2:$B$101,$B96)+SUMIFS(资金账单!$D$2:$D$101,资金账单!$B$2:$B$101,$B96)+SUMIFS(资金账单!$E$2:$E$101,资金账单!$B$2:$B$101,$B96)+SUMIFS(资金账单!$F$2:$F$101,资金账单!$B$2:$B$101,$B96),2))</f>
        <v/>
      </c>
      <c r="E96">
        <f>IF($B96="","",COUNTIF(资金账单!$B$2:$B$101,$B96))</f>
        <v/>
      </c>
      <c r="F96" s="6">
        <f>IF($B96="","",ROUND($C96-$D96,2))</f>
        <v/>
      </c>
      <c r="G96" s="6">
        <f>IF($B96="","",ROUND(订单数据!E96-SUMIFS(资金账单!$F$2:$F$101,资金账单!$B$2:$B$101,$B96),2))</f>
        <v/>
      </c>
      <c r="H96">
        <f>IF($B96="","",IF($E96=0,"⚠未结算",IF($E96&gt;1,"❌重复结算",IF(AND(ABS($G96)&gt;0.01,ABS($F96)&lt;=0.01),"❌退款未同步",IF(OR(ABS($F96)&gt;0.01,ABS($G96)&gt;0.01),"❌金额差异","✓")))))</f>
        <v/>
      </c>
    </row>
    <row r="97">
      <c r="A97">
        <f>IF(订单数据!B97="","",订单数据!A97)</f>
        <v/>
      </c>
      <c r="B97">
        <f>IF(订单数据!B97="","",订单数据!B97)</f>
        <v/>
      </c>
      <c r="C97" s="6">
        <f>IF($B97="","",ROUND(订单数据!C97+订单数据!D97,2))</f>
        <v/>
      </c>
      <c r="D97" s="6">
        <f>IF($B97="","",ROUND(SUMIFS(资金账单!$G$2:$G$101,资金账单!$B$2:$B$101,$B97)+SUMIFS(资金账单!$D$2:$D$101,资金账单!$B$2:$B$101,$B97)+SUMIFS(资金账单!$E$2:$E$101,资金账单!$B$2:$B$101,$B97)+SUMIFS(资金账单!$F$2:$F$101,资金账单!$B$2:$B$101,$B97),2))</f>
        <v/>
      </c>
      <c r="E97">
        <f>IF($B97="","",COUNTIF(资金账单!$B$2:$B$101,$B97))</f>
        <v/>
      </c>
      <c r="F97" s="6">
        <f>IF($B97="","",ROUND($C97-$D97,2))</f>
        <v/>
      </c>
      <c r="G97" s="6">
        <f>IF($B97="","",ROUND(订单数据!E97-SUMIFS(资金账单!$F$2:$F$101,资金账单!$B$2:$B$101,$B97),2))</f>
        <v/>
      </c>
      <c r="H97">
        <f>IF($B97="","",IF($E97=0,"⚠未结算",IF($E97&gt;1,"❌重复结算",IF(AND(ABS($G97)&gt;0.01,ABS($F97)&lt;=0.01),"❌退款未同步",IF(OR(ABS($F97)&gt;0.01,ABS($G97)&gt;0.01),"❌金额差异","✓")))))</f>
        <v/>
      </c>
    </row>
    <row r="98">
      <c r="A98">
        <f>IF(订单数据!B98="","",订单数据!A98)</f>
        <v/>
      </c>
      <c r="B98">
        <f>IF(订单数据!B98="","",订单数据!B98)</f>
        <v/>
      </c>
      <c r="C98" s="6">
        <f>IF($B98="","",ROUND(订单数据!C98+订单数据!D98,2))</f>
        <v/>
      </c>
      <c r="D98" s="6">
        <f>IF($B98="","",ROUND(SUMIFS(资金账单!$G$2:$G$101,资金账单!$B$2:$B$101,$B98)+SUMIFS(资金账单!$D$2:$D$101,资金账单!$B$2:$B$101,$B98)+SUMIFS(资金账单!$E$2:$E$101,资金账单!$B$2:$B$101,$B98)+SUMIFS(资金账单!$F$2:$F$101,资金账单!$B$2:$B$101,$B98),2))</f>
        <v/>
      </c>
      <c r="E98">
        <f>IF($B98="","",COUNTIF(资金账单!$B$2:$B$101,$B98))</f>
        <v/>
      </c>
      <c r="F98" s="6">
        <f>IF($B98="","",ROUND($C98-$D98,2))</f>
        <v/>
      </c>
      <c r="G98" s="6">
        <f>IF($B98="","",ROUND(订单数据!E98-SUMIFS(资金账单!$F$2:$F$101,资金账单!$B$2:$B$101,$B98),2))</f>
        <v/>
      </c>
      <c r="H98">
        <f>IF($B98="","",IF($E98=0,"⚠未结算",IF($E98&gt;1,"❌重复结算",IF(AND(ABS($G98)&gt;0.01,ABS($F98)&lt;=0.01),"❌退款未同步",IF(OR(ABS($F98)&gt;0.01,ABS($G98)&gt;0.01),"❌金额差异","✓")))))</f>
        <v/>
      </c>
    </row>
    <row r="99">
      <c r="A99">
        <f>IF(订单数据!B99="","",订单数据!A99)</f>
        <v/>
      </c>
      <c r="B99">
        <f>IF(订单数据!B99="","",订单数据!B99)</f>
        <v/>
      </c>
      <c r="C99" s="6">
        <f>IF($B99="","",ROUND(订单数据!C99+订单数据!D99,2))</f>
        <v/>
      </c>
      <c r="D99" s="6">
        <f>IF($B99="","",ROUND(SUMIFS(资金账单!$G$2:$G$101,资金账单!$B$2:$B$101,$B99)+SUMIFS(资金账单!$D$2:$D$101,资金账单!$B$2:$B$101,$B99)+SUMIFS(资金账单!$E$2:$E$101,资金账单!$B$2:$B$101,$B99)+SUMIFS(资金账单!$F$2:$F$101,资金账单!$B$2:$B$101,$B99),2))</f>
        <v/>
      </c>
      <c r="E99">
        <f>IF($B99="","",COUNTIF(资金账单!$B$2:$B$101,$B99))</f>
        <v/>
      </c>
      <c r="F99" s="6">
        <f>IF($B99="","",ROUND($C99-$D99,2))</f>
        <v/>
      </c>
      <c r="G99" s="6">
        <f>IF($B99="","",ROUND(订单数据!E99-SUMIFS(资金账单!$F$2:$F$101,资金账单!$B$2:$B$101,$B99),2))</f>
        <v/>
      </c>
      <c r="H99">
        <f>IF($B99="","",IF($E99=0,"⚠未结算",IF($E99&gt;1,"❌重复结算",IF(AND(ABS($G99)&gt;0.01,ABS($F99)&lt;=0.01),"❌退款未同步",IF(OR(ABS($F99)&gt;0.01,ABS($G99)&gt;0.01),"❌金额差异","✓")))))</f>
        <v/>
      </c>
    </row>
    <row r="100">
      <c r="A100">
        <f>IF(订单数据!B100="","",订单数据!A100)</f>
        <v/>
      </c>
      <c r="B100">
        <f>IF(订单数据!B100="","",订单数据!B100)</f>
        <v/>
      </c>
      <c r="C100" s="6">
        <f>IF($B100="","",ROUND(订单数据!C100+订单数据!D100,2))</f>
        <v/>
      </c>
      <c r="D100" s="6">
        <f>IF($B100="","",ROUND(SUMIFS(资金账单!$G$2:$G$101,资金账单!$B$2:$B$101,$B100)+SUMIFS(资金账单!$D$2:$D$101,资金账单!$B$2:$B$101,$B100)+SUMIFS(资金账单!$E$2:$E$101,资金账单!$B$2:$B$101,$B100)+SUMIFS(资金账单!$F$2:$F$101,资金账单!$B$2:$B$101,$B100),2))</f>
        <v/>
      </c>
      <c r="E100">
        <f>IF($B100="","",COUNTIF(资金账单!$B$2:$B$101,$B100))</f>
        <v/>
      </c>
      <c r="F100" s="6">
        <f>IF($B100="","",ROUND($C100-$D100,2))</f>
        <v/>
      </c>
      <c r="G100" s="6">
        <f>IF($B100="","",ROUND(订单数据!E100-SUMIFS(资金账单!$F$2:$F$101,资金账单!$B$2:$B$101,$B100),2))</f>
        <v/>
      </c>
      <c r="H100">
        <f>IF($B100="","",IF($E100=0,"⚠未结算",IF($E100&gt;1,"❌重复结算",IF(AND(ABS($G100)&gt;0.01,ABS($F100)&lt;=0.01),"❌退款未同步",IF(OR(ABS($F100)&gt;0.01,ABS($G100)&gt;0.01),"❌金额差异","✓")))))</f>
        <v/>
      </c>
    </row>
    <row r="101">
      <c r="A101">
        <f>IF(订单数据!B101="","",订单数据!A101)</f>
        <v/>
      </c>
      <c r="B101">
        <f>IF(订单数据!B101="","",订单数据!B101)</f>
        <v/>
      </c>
      <c r="C101" s="6">
        <f>IF($B101="","",ROUND(订单数据!C101+订单数据!D101,2))</f>
        <v/>
      </c>
      <c r="D101" s="6">
        <f>IF($B101="","",ROUND(SUMIFS(资金账单!$G$2:$G$101,资金账单!$B$2:$B$101,$B101)+SUMIFS(资金账单!$D$2:$D$101,资金账单!$B$2:$B$101,$B101)+SUMIFS(资金账单!$E$2:$E$101,资金账单!$B$2:$B$101,$B101)+SUMIFS(资金账单!$F$2:$F$101,资金账单!$B$2:$B$101,$B101),2))</f>
        <v/>
      </c>
      <c r="E101">
        <f>IF($B101="","",COUNTIF(资金账单!$B$2:$B$101,$B101))</f>
        <v/>
      </c>
      <c r="F101" s="6">
        <f>IF($B101="","",ROUND($C101-$D101,2))</f>
        <v/>
      </c>
      <c r="G101" s="6">
        <f>IF($B101="","",ROUND(订单数据!E101-SUMIFS(资金账单!$F$2:$F$101,资金账单!$B$2:$B$101,$B101),2))</f>
        <v/>
      </c>
      <c r="H101">
        <f>IF($B101="","",IF($E101=0,"⚠未结算",IF($E101&gt;1,"❌重复结算",IF(AND(ABS($G101)&gt;0.01,ABS($F101)&lt;=0.01),"❌退款未同步",IF(OR(ABS($F101)&gt;0.01,ABS($G101)&gt;0.01),"❌金额差异","✓")))))</f>
        <v/>
      </c>
    </row>
  </sheetData>
  <conditionalFormatting sqref="H2:H101">
    <cfRule type="expression" priority="1" dxfId="0">
      <formula>LEFT($H2,1)="⚠"</formula>
    </cfRule>
    <cfRule type="expression" priority="2" dxfId="1">
      <formula>LEFT($H2,1)="❌"</formula>
    </cfRule>
    <cfRule type="expression" priority="3" dxfId="2">
      <formula>$H2="✓"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2026-09-10T03:19:48Z</dcterms:created>
  <dcterms:modified xmlns:dcterms="http://purl.org/dc/terms/" xmlns:xsi="http://www.w3.org/2001/XMLSchema-instance" xsi:type="dcterms:W3CDTF">2026-09-10T03:19:48Z</dcterms:modified>
</cp:coreProperties>
</file>